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lop\VBA\印刷工艺单3\"/>
    </mc:Choice>
  </mc:AlternateContent>
  <bookViews>
    <workbookView xWindow="0" yWindow="0" windowWidth="19320" windowHeight="10920"/>
  </bookViews>
  <sheets>
    <sheet name="sheet1" sheetId="2" r:id="rId1"/>
    <sheet name="标签" sheetId="3" r:id="rId2"/>
    <sheet name="送货单" sheetId="4" r:id="rId3"/>
    <sheet name="客户地址" sheetId="7" r:id="rId4"/>
  </sheets>
  <definedNames>
    <definedName name="_xlnm._FilterDatabase" localSheetId="0" hidden="1">sheet1!$A$1:$S$55</definedName>
    <definedName name="_xlnm.Print_Area" localSheetId="2">送货单!$A$1:$F$8</definedName>
  </definedNames>
  <calcPr calcId="152511"/>
</workbook>
</file>

<file path=xl/calcChain.xml><?xml version="1.0" encoding="utf-8"?>
<calcChain xmlns="http://schemas.openxmlformats.org/spreadsheetml/2006/main">
  <c r="B11" i="3" l="1"/>
  <c r="B6" i="3"/>
  <c r="H1" i="3"/>
  <c r="H11" i="3" s="1"/>
  <c r="A7" i="3"/>
  <c r="G17" i="3" s="1"/>
  <c r="G22" i="3" s="1"/>
  <c r="A12" i="3"/>
  <c r="A22" i="3" s="1"/>
  <c r="G12" i="3"/>
  <c r="G7" i="3"/>
  <c r="G2" i="3"/>
  <c r="H8" i="3"/>
  <c r="B13" i="3"/>
  <c r="H23" i="3" s="1"/>
  <c r="B8" i="3"/>
  <c r="H13" i="3" s="1"/>
  <c r="H18" i="3" s="1"/>
  <c r="H3" i="3"/>
  <c r="B24" i="3"/>
  <c r="B19" i="3"/>
  <c r="B9" i="3"/>
  <c r="B14" i="3"/>
  <c r="H24" i="3" s="1"/>
  <c r="H14" i="3"/>
  <c r="H9" i="3"/>
  <c r="H4" i="3"/>
  <c r="B7" i="3"/>
  <c r="B17" i="3"/>
  <c r="B22" i="3"/>
  <c r="H22" i="3"/>
  <c r="H17" i="3"/>
  <c r="H12" i="3"/>
  <c r="H7" i="3"/>
  <c r="H2" i="3"/>
  <c r="J22" i="3"/>
  <c r="J17" i="3"/>
  <c r="J12" i="3"/>
  <c r="J7" i="3"/>
  <c r="D22" i="3"/>
  <c r="D17" i="3"/>
  <c r="D7" i="3"/>
  <c r="J2" i="3"/>
  <c r="H19" i="3" l="1"/>
  <c r="A17" i="3"/>
  <c r="B18" i="3"/>
  <c r="B23" i="3" s="1"/>
  <c r="H6" i="3"/>
  <c r="H16" i="3" s="1"/>
  <c r="H21" i="3" s="1"/>
  <c r="B16" i="3"/>
  <c r="B21" i="3" s="1"/>
</calcChain>
</file>

<file path=xl/sharedStrings.xml><?xml version="1.0" encoding="utf-8"?>
<sst xmlns="http://schemas.openxmlformats.org/spreadsheetml/2006/main" count="379" uniqueCount="253">
  <si>
    <t>书名</t>
  </si>
  <si>
    <t>定价</t>
  </si>
  <si>
    <t>版别</t>
  </si>
  <si>
    <t>印刷厂</t>
  </si>
  <si>
    <t>产品名称</t>
    <phoneticPr fontId="21" type="noConversion"/>
  </si>
  <si>
    <t>每包册数</t>
    <phoneticPr fontId="21" type="noConversion"/>
  </si>
  <si>
    <t>收货人签名</t>
    <phoneticPr fontId="21" type="noConversion"/>
  </si>
  <si>
    <t>发货人：13871484678</t>
    <phoneticPr fontId="21" type="noConversion"/>
  </si>
  <si>
    <t>日期</t>
    <phoneticPr fontId="2" type="noConversion"/>
  </si>
  <si>
    <t>客户</t>
    <phoneticPr fontId="2" type="noConversion"/>
  </si>
  <si>
    <t>成品数字</t>
    <phoneticPr fontId="2" type="noConversion"/>
  </si>
  <si>
    <t>材料</t>
    <phoneticPr fontId="2" type="noConversion"/>
  </si>
  <si>
    <t>复膜</t>
    <phoneticPr fontId="2" type="noConversion"/>
  </si>
  <si>
    <t>定价</t>
    <phoneticPr fontId="2" type="noConversion"/>
  </si>
  <si>
    <t>单包数量</t>
    <phoneticPr fontId="2" type="noConversion"/>
  </si>
  <si>
    <t>供应商</t>
    <phoneticPr fontId="2" type="noConversion"/>
  </si>
  <si>
    <t>名称</t>
    <phoneticPr fontId="2" type="noConversion"/>
  </si>
  <si>
    <t>应收款</t>
    <phoneticPr fontId="2" type="noConversion"/>
  </si>
  <si>
    <t>其它说明</t>
    <phoneticPr fontId="2" type="noConversion"/>
  </si>
  <si>
    <t>已收金额</t>
    <phoneticPr fontId="2" type="noConversion"/>
  </si>
  <si>
    <t>已付金额</t>
    <phoneticPr fontId="2" type="noConversion"/>
  </si>
  <si>
    <t>应付</t>
    <phoneticPr fontId="2" type="noConversion"/>
  </si>
  <si>
    <t>武汉大学出版社</t>
  </si>
  <si>
    <t>开动传媒</t>
  </si>
  <si>
    <t>李辉</t>
  </si>
  <si>
    <t>东湖水下城市隧道关键技术实践与创新</t>
  </si>
  <si>
    <t>787/1092正度16开，内文70克双胶</t>
  </si>
  <si>
    <t>业务号</t>
    <phoneticPr fontId="2" type="noConversion"/>
  </si>
  <si>
    <t>开动传媒</t>
    <phoneticPr fontId="2" type="noConversion"/>
  </si>
  <si>
    <t>建筑结构第二版</t>
    <phoneticPr fontId="2" type="noConversion"/>
  </si>
  <si>
    <t>建筑结构第二版建筑结构第二版建筑结构第二版建筑结构第二版</t>
  </si>
  <si>
    <t>摘要</t>
    <phoneticPr fontId="2" type="noConversion"/>
  </si>
  <si>
    <t>李辉</t>
    <phoneticPr fontId="2" type="noConversion"/>
  </si>
  <si>
    <t>出版社</t>
    <phoneticPr fontId="2" type="noConversion"/>
  </si>
  <si>
    <t>老曹</t>
    <phoneticPr fontId="2" type="noConversion"/>
  </si>
  <si>
    <t>小兴安岭画册</t>
    <phoneticPr fontId="2" type="noConversion"/>
  </si>
  <si>
    <t>中国地质大学出版社</t>
    <phoneticPr fontId="2" type="noConversion"/>
  </si>
  <si>
    <t>小兴安岭画册---封面230克铜版（哑膜）内页80克双胶大度16开200P无线胶装1000本---成品210X297---自带230克铜版大度全开300张（封面4P用纸，开料大4开单面印）---自带80克特度880*1230*150张（内页4P用纸）---自带80克特度880*1230*6600张（内页192P用纸）---对开12AB+1自翻---自带CTP---后加工自理---（200-65）*26=3510元+哑膜：160元，合计：3670元</t>
    <phoneticPr fontId="2" type="noConversion"/>
  </si>
  <si>
    <t>哑</t>
  </si>
  <si>
    <t>李辉</t>
    <phoneticPr fontId="2" type="noConversion"/>
  </si>
  <si>
    <t>施总</t>
  </si>
  <si>
    <t>大学心理健康+创新企业2种封面</t>
  </si>
  <si>
    <t>250克铜版正度8开2种各3050张</t>
  </si>
  <si>
    <t>房屋建筑+大学数学2种封面</t>
  </si>
  <si>
    <t>250克铜版正度8开2种共4080张</t>
  </si>
  <si>
    <t>土木工程材料画册封面</t>
  </si>
  <si>
    <t>250克铜版特度8开3050张</t>
  </si>
  <si>
    <t>城市轨道交通+BIM技术应用195号封面</t>
  </si>
  <si>
    <t>城市轨道交通画册装订</t>
  </si>
  <si>
    <t>封面250克内页70克双胶正度16开184P胶装3000本</t>
  </si>
  <si>
    <t>BIM技术应用195号画册内页</t>
  </si>
  <si>
    <t>70克全木桨本色双胶正度16开140P无线胶装3000本</t>
  </si>
  <si>
    <t>大学特理+大学心理+玻璃窖炉3种封面</t>
  </si>
  <si>
    <t>250克铜版大度对开1600张</t>
  </si>
  <si>
    <t>BIM技术应用210号画册封面</t>
  </si>
  <si>
    <t>250克铜版正度8开3000张</t>
  </si>
  <si>
    <t>BIM技术应用210号画册内页</t>
  </si>
  <si>
    <t>70克全木桨本色双胶正度16开244P无线胶装3000本</t>
  </si>
  <si>
    <t>大学物理教程下册封面</t>
  </si>
  <si>
    <t>250克铜版正度8开1560张</t>
  </si>
  <si>
    <t>钢结构原理5738+建筑施工5695</t>
  </si>
  <si>
    <t>250克铜版正度8开2种各3080张</t>
  </si>
  <si>
    <t>学生宿舍管理+学生制度汇编2种封面</t>
  </si>
  <si>
    <t>200克铜版大度16开2种各2900张</t>
  </si>
  <si>
    <t>中国林内机身贴</t>
  </si>
  <si>
    <t>250克铜版大度630张</t>
  </si>
  <si>
    <t>机械图样识读与绘制封面</t>
  </si>
  <si>
    <t>250克铜版特度4开820张</t>
  </si>
  <si>
    <t>唐诗宋词鉴赏画册封面</t>
  </si>
  <si>
    <t>250克铜版大度长8开11300张</t>
  </si>
  <si>
    <t>道德法治封面</t>
  </si>
  <si>
    <t>157克正度8开1300张</t>
  </si>
  <si>
    <t>同步口算5-6年级2种封面</t>
  </si>
  <si>
    <t>200克铜版正度8开2种各3000张</t>
  </si>
  <si>
    <t>非洲猪瘟2种不干胶海报</t>
  </si>
  <si>
    <t>540*780*2种*2000张</t>
  </si>
  <si>
    <t>混凝土学封面</t>
  </si>
  <si>
    <t>250克铜版特度4开1060张</t>
  </si>
  <si>
    <t>雅博教育3折页封套</t>
  </si>
  <si>
    <t>300克铜版正度3开1000张</t>
  </si>
  <si>
    <t>土木工程第4版封面</t>
  </si>
  <si>
    <t>250克铜版特度8开5050张</t>
  </si>
  <si>
    <t>汽院学生管理制度汇编封面</t>
  </si>
  <si>
    <t>200克铜版大度16开1500张</t>
  </si>
  <si>
    <t>土木工程内彩插页</t>
  </si>
  <si>
    <t>128克特度16开5050张</t>
  </si>
  <si>
    <t>混凝土学封面加印</t>
  </si>
  <si>
    <t>250克铜版正度3开1100张</t>
  </si>
  <si>
    <t>亚心19年封面</t>
  </si>
  <si>
    <t>300克哑粉大度长4开2000张</t>
  </si>
  <si>
    <t>米兰纺织色卡4折页</t>
  </si>
  <si>
    <t>400克铜版大度长4开500张</t>
  </si>
  <si>
    <t>雅璃玻璃画册</t>
  </si>
  <si>
    <t>封250克内157克大16开60P无线胶装800本</t>
  </si>
  <si>
    <t>房屋建筑学第二版封面</t>
  </si>
  <si>
    <t>250克铜版大度8开4000张</t>
  </si>
  <si>
    <t>亚心十九年封面加印</t>
  </si>
  <si>
    <t>300克哑粉大度长4开1000张</t>
  </si>
  <si>
    <t>284建筑结构第2版封面</t>
  </si>
  <si>
    <t>250克铜版大度8开3000张</t>
  </si>
  <si>
    <t>279土木工程施工组织第2版封面</t>
  </si>
  <si>
    <t>277+281土木工程画册2种封面</t>
  </si>
  <si>
    <t>250克铜版大度8开2种各5000张</t>
  </si>
  <si>
    <t>281土木工程概论第二版内页</t>
  </si>
  <si>
    <t>70克本白全木桨双胶大度16开260P无线胶装5000本</t>
  </si>
  <si>
    <t>东湖水下隧道精装书封面</t>
  </si>
  <si>
    <t>157克正度4开350张</t>
  </si>
  <si>
    <t>唐诗宋词封面</t>
  </si>
  <si>
    <t>230克铜版大度长8开1万张</t>
  </si>
  <si>
    <t>297工程结构封面</t>
  </si>
  <si>
    <t>301桥梁工程画册封面</t>
  </si>
  <si>
    <t>250克铜版大度8开2000张</t>
  </si>
  <si>
    <t>300土木施工组织+304土木工程材料</t>
  </si>
  <si>
    <t>250克铜版大度8开2种各3000张</t>
  </si>
  <si>
    <t>丰盈</t>
    <phoneticPr fontId="2" type="noConversion"/>
  </si>
  <si>
    <t>文天阁</t>
    <phoneticPr fontId="2" type="noConversion"/>
  </si>
  <si>
    <t>子恒</t>
    <phoneticPr fontId="2" type="noConversion"/>
  </si>
  <si>
    <t>思创</t>
    <phoneticPr fontId="2" type="noConversion"/>
  </si>
  <si>
    <t>城市轨道交通行车组织</t>
  </si>
  <si>
    <t>11.75印张正度，封面哑膜250克，胶装。</t>
  </si>
  <si>
    <t>双色共11个ＡＢ加2个自翻（0.25和0.5各１个）合计13套双色版。胶装。</t>
  </si>
  <si>
    <t>老曹</t>
  </si>
  <si>
    <t>房屋建筑学封面哑膜3100份</t>
  </si>
  <si>
    <t>成品尺寸432*270，哑膜250克，头对头拼版</t>
  </si>
  <si>
    <t>门店自提</t>
  </si>
  <si>
    <t>土木工程ＣＡＤ（第二版）封面</t>
  </si>
  <si>
    <t>430*285哑膜250克889*1194自带纸</t>
  </si>
  <si>
    <t>430*285哑膜250克889*1194自带纸，头对头拼版。</t>
  </si>
  <si>
    <t>建筑设备（第２版）封面</t>
  </si>
  <si>
    <t>210*282，头对头拼版，正反四色。</t>
  </si>
  <si>
    <t>210*282，头对头拼版，正反四色。250克，哑膜。</t>
  </si>
  <si>
    <t>日期</t>
    <phoneticPr fontId="21" type="noConversion"/>
  </si>
  <si>
    <t>收货单位</t>
    <phoneticPr fontId="21" type="noConversion"/>
  </si>
  <si>
    <t>定价</t>
    <phoneticPr fontId="21" type="noConversion"/>
  </si>
  <si>
    <t>包数</t>
    <phoneticPr fontId="21" type="noConversion"/>
  </si>
  <si>
    <t>出版</t>
    <phoneticPr fontId="21" type="noConversion"/>
  </si>
  <si>
    <t>武汉大学出版社</t>
    <phoneticPr fontId="21" type="noConversion"/>
  </si>
  <si>
    <t>永昌晟</t>
  </si>
  <si>
    <t>客户地址</t>
    <phoneticPr fontId="2" type="noConversion"/>
  </si>
  <si>
    <t>杰豹物流，洪山区文化大道李桥村委会，联系人肖先生15927466026，02787059278</t>
    <phoneticPr fontId="2" type="noConversion"/>
  </si>
  <si>
    <t>江夏区大桥新区邢远长街十月路１号卓兴达园区２号，中铁敏行，金先生13125053175</t>
    <phoneticPr fontId="2" type="noConversion"/>
  </si>
  <si>
    <t>乐生门点自提</t>
    <phoneticPr fontId="2" type="noConversion"/>
  </si>
  <si>
    <t>开动传媒</t>
    <phoneticPr fontId="2" type="noConversion"/>
  </si>
  <si>
    <t>BIM技术应用210号画册内页</t>
    <phoneticPr fontId="2" type="noConversion"/>
  </si>
  <si>
    <t>李辉</t>
    <phoneticPr fontId="2" type="noConversion"/>
  </si>
  <si>
    <t>70克全木桨本色双胶正度16开244P无线胶装3000本</t>
    <phoneticPr fontId="2" type="noConversion"/>
  </si>
  <si>
    <t>子恒</t>
    <phoneticPr fontId="2" type="noConversion"/>
  </si>
  <si>
    <t>中国林内机身贴</t>
    <phoneticPr fontId="2" type="noConversion"/>
  </si>
  <si>
    <t>250克铜版大度630张</t>
    <phoneticPr fontId="2" type="noConversion"/>
  </si>
  <si>
    <t>出版社名单</t>
    <phoneticPr fontId="2" type="noConversion"/>
  </si>
  <si>
    <t>印刷厂名单</t>
    <phoneticPr fontId="2" type="noConversion"/>
  </si>
  <si>
    <t>武汉大学出版社</t>
    <phoneticPr fontId="2" type="noConversion"/>
  </si>
  <si>
    <t>中国地质大学出版社</t>
    <phoneticPr fontId="2" type="noConversion"/>
  </si>
  <si>
    <t>武汉乐生印刷有限公司</t>
    <phoneticPr fontId="2" type="noConversion"/>
  </si>
  <si>
    <t>武汉睿智印务有限公司</t>
    <phoneticPr fontId="2" type="noConversion"/>
  </si>
  <si>
    <t>客户</t>
    <phoneticPr fontId="2" type="noConversion"/>
  </si>
  <si>
    <t>开动传媒</t>
    <phoneticPr fontId="2" type="noConversion"/>
  </si>
  <si>
    <t>睿智</t>
  </si>
  <si>
    <t>丰盈</t>
    <phoneticPr fontId="2" type="noConversion"/>
  </si>
  <si>
    <t>供应商</t>
    <phoneticPr fontId="2" type="noConversion"/>
  </si>
  <si>
    <t>李辉</t>
    <phoneticPr fontId="2" type="noConversion"/>
  </si>
  <si>
    <t>阿街</t>
    <phoneticPr fontId="2" type="noConversion"/>
  </si>
  <si>
    <t>刘丹</t>
    <phoneticPr fontId="2" type="noConversion"/>
  </si>
  <si>
    <t>定价（元）</t>
    <phoneticPr fontId="21" type="noConversion"/>
  </si>
  <si>
    <t/>
  </si>
  <si>
    <t>出版社</t>
    <phoneticPr fontId="21" type="noConversion"/>
  </si>
  <si>
    <t>册数</t>
    <phoneticPr fontId="21" type="noConversion"/>
  </si>
  <si>
    <t>定价</t>
    <phoneticPr fontId="21" type="noConversion"/>
  </si>
  <si>
    <t>送货单</t>
  </si>
  <si>
    <t>中国地质大学出版社</t>
  </si>
  <si>
    <t>睿智</t>
    <phoneticPr fontId="2" type="noConversion"/>
  </si>
  <si>
    <t>小兴安岭画册</t>
    <phoneticPr fontId="2" type="noConversion"/>
  </si>
  <si>
    <t>李辉</t>
    <phoneticPr fontId="2" type="noConversion"/>
  </si>
  <si>
    <t>封230克内80克双胶大16开200P无线胶装1000本</t>
    <phoneticPr fontId="2" type="noConversion"/>
  </si>
  <si>
    <t>关中城市画册</t>
    <phoneticPr fontId="2" type="noConversion"/>
  </si>
  <si>
    <t>李辉</t>
    <phoneticPr fontId="2" type="noConversion"/>
  </si>
  <si>
    <t>封230克内80克双胶正度16开124P无线胶装500本</t>
    <phoneticPr fontId="2" type="noConversion"/>
  </si>
  <si>
    <t>开动传媒</t>
    <phoneticPr fontId="2" type="noConversion"/>
  </si>
  <si>
    <t>东湖水下隧道精装书内页</t>
    <phoneticPr fontId="2" type="noConversion"/>
  </si>
  <si>
    <t>李辉</t>
    <phoneticPr fontId="2" type="noConversion"/>
  </si>
  <si>
    <t>70克本白全木桨双胶正度16开588P锁线胶装310本</t>
    <phoneticPr fontId="2" type="noConversion"/>
  </si>
  <si>
    <t>丰盈</t>
    <phoneticPr fontId="2" type="noConversion"/>
  </si>
  <si>
    <t>咸宁雷总</t>
    <phoneticPr fontId="2" type="noConversion"/>
  </si>
  <si>
    <t>米兰</t>
    <phoneticPr fontId="2" type="noConversion"/>
  </si>
  <si>
    <t>丰盈</t>
    <phoneticPr fontId="2" type="noConversion"/>
  </si>
  <si>
    <t>崇文7种封面</t>
    <phoneticPr fontId="2" type="noConversion"/>
  </si>
  <si>
    <t>1年级数学，通用提高版，共计53.575令纸，印刷费100元一令，复膜费200元一令，共53.575*300元＝16072.5</t>
    <phoneticPr fontId="2" type="noConversion"/>
  </si>
  <si>
    <t>金海东</t>
  </si>
  <si>
    <t>创世纪印了12.75令纸，其它金海东印刷，永泰复膜40元一平方米。</t>
  </si>
  <si>
    <t>开动传媒</t>
    <phoneticPr fontId="2" type="noConversion"/>
  </si>
  <si>
    <t>BIM技术应用：Revit建模与工程应用</t>
    <phoneticPr fontId="2" type="noConversion"/>
  </si>
  <si>
    <t>彩色正文787*1092正16开封面哑膜112页14印张</t>
    <phoneticPr fontId="2" type="noConversion"/>
  </si>
  <si>
    <t>阿街</t>
  </si>
  <si>
    <t>阿街</t>
    <phoneticPr fontId="2" type="noConversion"/>
  </si>
  <si>
    <t>创世纪印刷300元一版对开，装订费0.04元一贴。李辉封面印刷加复膜。</t>
    <phoneticPr fontId="2" type="noConversion"/>
  </si>
  <si>
    <t>结构设计软件应用：PKPM(第２版)</t>
    <phoneticPr fontId="2" type="noConversion"/>
  </si>
  <si>
    <t>哑膜</t>
    <phoneticPr fontId="2" type="noConversion"/>
  </si>
  <si>
    <t>内芯四色印刷，70克本白双胶，封面250克铜版纸复哑膜。成品尺寸200*270.打包数字3990册，另送十本样书我自取。剩下的书，我来拿。</t>
    <phoneticPr fontId="2" type="noConversion"/>
  </si>
  <si>
    <t>发货：南漳丰盈万小芳13396113999</t>
    <phoneticPr fontId="2" type="noConversion"/>
  </si>
  <si>
    <t>印刷厂</t>
    <phoneticPr fontId="2" type="noConversion"/>
  </si>
  <si>
    <t>小兴安岭画册---封面230克铜版（哑膜）内页80克双胶大度16开200P无线胶装1000本---成品210X297---共12.5印张，印刷费240元*26套（含封面）＝3360元，装订费0.04元/贴*14贴*1000本＝560元。</t>
    <phoneticPr fontId="2" type="noConversion"/>
  </si>
  <si>
    <t>丰盈</t>
    <phoneticPr fontId="2" type="noConversion"/>
  </si>
  <si>
    <t>1，必修3，15000份亮膜，2，必修5，10000份亮膜</t>
    <phoneticPr fontId="2" type="noConversion"/>
  </si>
  <si>
    <t>光</t>
    <phoneticPr fontId="2" type="noConversion"/>
  </si>
  <si>
    <t xml:space="preserve">丰盈6.5令纸封面中轻拖纸。丰盈6.5令纸封面中轻拖纸。1，必修3    15000_x000D_
2，必修5    10000_x000D_
亮膜_x000D_
成品尺寸280*210，应收100元*6.5令，是650元，复膜280*6.5＝1820元，两个加起来，就是应收。_x000D_
</t>
    <phoneticPr fontId="2" type="noConversion"/>
  </si>
  <si>
    <t>李辉</t>
    <phoneticPr fontId="2" type="noConversion"/>
  </si>
  <si>
    <t>丰盈6.5令纸封面中轻拖纸。1，必修3    15000_x000D_
2，必修5    10000_x000D_
亮膜_x000D_
成品尺寸280*210,齐头拼版，脚下多留10毫米出血</t>
    <phoneticPr fontId="2" type="noConversion"/>
  </si>
  <si>
    <t>武汉乐生印刷有限公司</t>
    <phoneticPr fontId="2" type="noConversion"/>
  </si>
  <si>
    <t>月份</t>
    <phoneticPr fontId="2" type="noConversion"/>
  </si>
  <si>
    <t>年份</t>
    <phoneticPr fontId="2" type="noConversion"/>
  </si>
  <si>
    <t>金海东</t>
    <phoneticPr fontId="2" type="noConversion"/>
  </si>
  <si>
    <t>思创</t>
    <phoneticPr fontId="2" type="noConversion"/>
  </si>
  <si>
    <t>2019年1月10日14:51</t>
    <phoneticPr fontId="2" type="noConversion"/>
  </si>
  <si>
    <t>思创</t>
    <phoneticPr fontId="2" type="noConversion"/>
  </si>
  <si>
    <t>湖北省主要农产品5折页</t>
    <phoneticPr fontId="2" type="noConversion"/>
  </si>
  <si>
    <t>157克300张成品。216*480尺寸。5折页，自理。印刷费240元，纸张70元。共计310元。</t>
    <phoneticPr fontId="2" type="noConversion"/>
  </si>
  <si>
    <t>金海东</t>
    <phoneticPr fontId="2" type="noConversion"/>
  </si>
  <si>
    <t>乐生门点自提</t>
  </si>
  <si>
    <t>157克300张成品。216*480尺寸。印刷费120元，不包版，纸70元。半成品交货，打全包。</t>
    <phoneticPr fontId="2" type="noConversion"/>
  </si>
  <si>
    <t>思创</t>
    <phoneticPr fontId="2" type="noConversion"/>
  </si>
  <si>
    <t>思创64Ｐ210*285急件4个ＡＢ版对开</t>
    <phoneticPr fontId="2" type="noConversion"/>
  </si>
  <si>
    <t>200份，64Ｐ128克纸，240元一套版，共8套版。1-9交货，印刷费1920元。纸钱630，合计</t>
    <phoneticPr fontId="2" type="noConversion"/>
  </si>
  <si>
    <t>门店自提</t>
    <phoneticPr fontId="2" type="noConversion"/>
  </si>
  <si>
    <t>李辉</t>
    <phoneticPr fontId="2" type="noConversion"/>
  </si>
  <si>
    <t>250份，６４Ｐ成品210*285，128克纸。急件。1-9早上交货的。180元*8＝1440元，纸另算.一共8套版，250印，给您180元一套，无线胶装，正常折页。</t>
    <phoneticPr fontId="2" type="noConversion"/>
  </si>
  <si>
    <t>土木工程材料（第二版）封面双面四色3000份</t>
    <phoneticPr fontId="2" type="noConversion"/>
  </si>
  <si>
    <t>哑</t>
    <phoneticPr fontId="2" type="noConversion"/>
  </si>
  <si>
    <t>乐生门店</t>
    <phoneticPr fontId="2" type="noConversion"/>
  </si>
  <si>
    <t>双面四色，成品210*282，拼对开头齐，脚部多留10毫米出血，切成四开复膜。打全包送乐生门店。千万不要打夹</t>
    <phoneticPr fontId="2" type="noConversion"/>
  </si>
  <si>
    <t>2019年1月11日09:32</t>
    <phoneticPr fontId="2" type="noConversion"/>
  </si>
  <si>
    <t>2019年1月11日10:48</t>
    <phoneticPr fontId="2" type="noConversion"/>
  </si>
  <si>
    <t>捷豹物流，地址：洪山区文件大道李桥村委会，加油站的对面。联系人肖先生15927466026，0278705927，</t>
    <phoneticPr fontId="2" type="noConversion"/>
  </si>
  <si>
    <t>文天阁</t>
    <phoneticPr fontId="2" type="noConversion"/>
  </si>
  <si>
    <t>肉从蓉盒子</t>
    <phoneticPr fontId="2" type="noConversion"/>
  </si>
  <si>
    <t>肉从蓉盒子,350克纸1000个，发甘肃运费245元1660元印刷费。</t>
    <phoneticPr fontId="2" type="noConversion"/>
  </si>
  <si>
    <t>李辉</t>
    <phoneticPr fontId="2" type="noConversion"/>
  </si>
  <si>
    <t>2019年1月11日12:33</t>
    <phoneticPr fontId="2" type="noConversion"/>
  </si>
  <si>
    <t>350克纸1000个，发甘肃运费245元1660元印刷费。先付1280元。微信，245元1-11微信38元1-11微信。</t>
    <phoneticPr fontId="2" type="noConversion"/>
  </si>
  <si>
    <t>建筑美术写生</t>
    <phoneticPr fontId="21" type="noConversion"/>
  </si>
  <si>
    <t>56</t>
    <phoneticPr fontId="21" type="noConversion"/>
  </si>
  <si>
    <t>武汉大学出版社</t>
    <phoneticPr fontId="21" type="noConversion"/>
  </si>
  <si>
    <t>肉从蓉盒子</t>
    <phoneticPr fontId="21" type="noConversion"/>
  </si>
  <si>
    <t>111</t>
    <phoneticPr fontId="21" type="noConversion"/>
  </si>
  <si>
    <t>22号建筑美术写生内页---128克铜版大度16开184P无线胶装2000本---足120克铜版大度全开12650张---对开11.5AB---纸：9990+印：5060+胶装：1300元=16350元</t>
  </si>
  <si>
    <t>单号</t>
    <phoneticPr fontId="2" type="noConversion"/>
  </si>
  <si>
    <t>开动传媒</t>
    <phoneticPr fontId="2" type="noConversion"/>
  </si>
  <si>
    <t>建筑美术写生</t>
    <phoneticPr fontId="2" type="noConversion"/>
  </si>
  <si>
    <t>武汉大学出版社</t>
    <phoneticPr fontId="2" type="noConversion"/>
  </si>
  <si>
    <t>哑</t>
    <phoneticPr fontId="2" type="noConversion"/>
  </si>
  <si>
    <t>李辉</t>
    <phoneticPr fontId="2" type="noConversion"/>
  </si>
  <si>
    <t>建筑美术写生2000册，成品尺寸200*280，封面250铜版哑膜，内芯128克铜版纸，正反四色。胶装。22号建筑美术写生内页---128克铜版大度16开184P无线胶装2000本---足120克铜版大度全开12650张---对开11.5AB---纸：9990+印：5060+胶装：1300元=16350元</t>
    <phoneticPr fontId="2" type="noConversion"/>
  </si>
  <si>
    <t>送货地址</t>
    <phoneticPr fontId="2" type="noConversion"/>
  </si>
  <si>
    <t>捷包物流，地址：洪山区文件大道李桥村委会，加油站的对面。联系人肖先生15927466026，0278705927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</si>
</sst>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 "/>
    <numFmt numFmtId="178" formatCode="yyyy/m/d\ h:mm;@"/>
  </numFmts>
  <fonts count="34" x14ac:knownFonts="1">
    <font>
      <sz val="11"/>
      <color indexed="8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8"/>
      <color indexed="8"/>
      <name val="宋体"/>
      <family val="3"/>
      <charset val="134"/>
    </font>
    <font>
      <sz val="6"/>
      <color indexed="8"/>
      <name val="宋体"/>
      <family val="3"/>
      <charset val="134"/>
    </font>
    <font>
      <b/>
      <sz val="18"/>
      <color indexed="8"/>
      <name val="宋体"/>
      <family val="3"/>
      <charset val="134"/>
    </font>
    <font>
      <sz val="18"/>
      <color indexed="8"/>
      <name val="黑体"/>
      <family val="3"/>
      <charset val="134"/>
    </font>
    <font>
      <sz val="12"/>
      <color indexed="8"/>
      <name val="宋体"/>
      <family val="3"/>
      <charset val="134"/>
    </font>
    <font>
      <sz val="24"/>
      <color theme="1"/>
      <name val="黑体"/>
      <family val="3"/>
      <charset val="134"/>
    </font>
    <font>
      <sz val="24"/>
      <color theme="1"/>
      <name val="宋体"/>
      <family val="3"/>
      <charset val="134"/>
      <scheme val="minor"/>
    </font>
    <font>
      <sz val="24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rgb="FF000000"/>
      <name val="宋体"/>
      <family val="3"/>
      <charset val="134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8">
    <xf numFmtId="0" fontId="0" fillId="0" borderId="0">
      <alignment vertical="center"/>
    </xf>
    <xf numFmtId="0" fontId="19" fillId="2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1" fillId="0" borderId="0"/>
    <xf numFmtId="0" fontId="13" fillId="4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16" borderId="5" applyNumberFormat="0" applyAlignment="0" applyProtection="0">
      <alignment vertical="center"/>
    </xf>
    <xf numFmtId="0" fontId="16" fillId="17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1" fillId="16" borderId="8" applyNumberFormat="0" applyAlignment="0" applyProtection="0">
      <alignment vertical="center"/>
    </xf>
    <xf numFmtId="0" fontId="6" fillId="7" borderId="5" applyNumberFormat="0" applyAlignment="0" applyProtection="0">
      <alignment vertical="center"/>
    </xf>
    <xf numFmtId="0" fontId="19" fillId="23" borderId="9" applyNumberFormat="0" applyFont="0" applyAlignment="0" applyProtection="0">
      <alignment vertical="center"/>
    </xf>
    <xf numFmtId="0" fontId="20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0" fontId="2" fillId="0" borderId="0">
      <alignment vertical="top"/>
      <protection locked="0"/>
    </xf>
  </cellStyleXfs>
  <cellXfs count="74">
    <xf numFmtId="0" fontId="0" fillId="0" borderId="0" xfId="0">
      <alignment vertical="center"/>
    </xf>
    <xf numFmtId="0" fontId="0" fillId="0" borderId="0" xfId="0" applyFill="1" applyBorder="1" applyAlignment="1">
      <alignment horizontal="left" vertical="center" shrinkToFit="1"/>
    </xf>
    <xf numFmtId="0" fontId="0" fillId="0" borderId="0" xfId="0" applyBorder="1" applyAlignment="1">
      <alignment vertical="center" shrinkToFit="1"/>
    </xf>
    <xf numFmtId="0" fontId="19" fillId="0" borderId="0" xfId="0" applyFont="1" applyBorder="1" applyAlignment="1" applyProtection="1">
      <alignment vertical="center" shrinkToFit="1"/>
    </xf>
    <xf numFmtId="0" fontId="19" fillId="0" borderId="0" xfId="0" applyFont="1" applyBorder="1" applyAlignment="1">
      <alignment vertical="center" shrinkToFit="1"/>
    </xf>
    <xf numFmtId="0" fontId="19" fillId="0" borderId="0" xfId="0" applyFont="1" applyFill="1" applyBorder="1" applyAlignment="1">
      <alignment horizontal="left" vertical="center" shrinkToFit="1"/>
    </xf>
    <xf numFmtId="0" fontId="0" fillId="0" borderId="0" xfId="0" applyNumberFormat="1" applyFill="1" applyBorder="1" applyAlignment="1">
      <alignment horizontal="left" vertical="center" shrinkToFit="1"/>
    </xf>
    <xf numFmtId="0" fontId="23" fillId="0" borderId="0" xfId="0" applyFont="1" applyBorder="1" applyAlignment="1" applyProtection="1">
      <alignment vertical="center" wrapText="1" shrinkToFit="1"/>
    </xf>
    <xf numFmtId="0" fontId="23" fillId="0" borderId="0" xfId="0" applyFont="1" applyBorder="1" applyAlignment="1">
      <alignment vertical="center" wrapText="1" shrinkToFit="1"/>
    </xf>
    <xf numFmtId="0" fontId="23" fillId="0" borderId="0" xfId="0" applyFont="1" applyBorder="1" applyAlignment="1">
      <alignment vertical="top" wrapText="1" shrinkToFit="1"/>
    </xf>
    <xf numFmtId="0" fontId="1" fillId="0" borderId="0" xfId="44" applyFill="1" applyBorder="1" applyAlignment="1">
      <alignment horizontal="center" vertical="center" shrinkToFit="1"/>
    </xf>
    <xf numFmtId="177" fontId="1" fillId="0" borderId="0" xfId="44" applyNumberFormat="1" applyFill="1" applyBorder="1" applyAlignment="1">
      <alignment horizontal="center" vertical="center" shrinkToFit="1"/>
    </xf>
    <xf numFmtId="0" fontId="22" fillId="0" borderId="13" xfId="0" applyFont="1" applyBorder="1" applyAlignment="1">
      <alignment horizontal="center" vertical="center"/>
    </xf>
    <xf numFmtId="0" fontId="22" fillId="0" borderId="13" xfId="0" applyFont="1" applyBorder="1">
      <alignment vertical="center"/>
    </xf>
    <xf numFmtId="58" fontId="22" fillId="0" borderId="13" xfId="0" applyNumberFormat="1" applyFont="1" applyBorder="1">
      <alignment vertical="center"/>
    </xf>
    <xf numFmtId="0" fontId="22" fillId="0" borderId="12" xfId="0" applyFont="1" applyFill="1" applyBorder="1" applyAlignment="1">
      <alignment horizontal="center" vertical="center"/>
    </xf>
    <xf numFmtId="0" fontId="24" fillId="0" borderId="13" xfId="0" applyFont="1" applyBorder="1">
      <alignment vertical="center"/>
    </xf>
    <xf numFmtId="0" fontId="19" fillId="0" borderId="0" xfId="0" applyFont="1">
      <alignment vertical="center"/>
    </xf>
    <xf numFmtId="0" fontId="25" fillId="0" borderId="11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0" fillId="0" borderId="13" xfId="0" applyBorder="1">
      <alignment vertical="center"/>
    </xf>
    <xf numFmtId="0" fontId="27" fillId="0" borderId="13" xfId="43" applyFont="1" applyBorder="1" applyAlignment="1">
      <alignment vertical="center" shrinkToFit="1"/>
    </xf>
    <xf numFmtId="0" fontId="28" fillId="0" borderId="0" xfId="43" applyFont="1">
      <alignment vertical="center"/>
    </xf>
    <xf numFmtId="0" fontId="27" fillId="0" borderId="13" xfId="43" applyNumberFormat="1" applyFont="1" applyBorder="1" applyAlignment="1">
      <alignment horizontal="center" vertical="center" shrinkToFit="1"/>
    </xf>
    <xf numFmtId="0" fontId="27" fillId="0" borderId="13" xfId="43" applyNumberFormat="1" applyFont="1" applyBorder="1" applyAlignment="1">
      <alignment vertical="center" shrinkToFit="1"/>
    </xf>
    <xf numFmtId="0" fontId="27" fillId="0" borderId="13" xfId="43" applyFont="1" applyBorder="1" applyAlignment="1">
      <alignment horizontal="center" vertical="center" shrinkToFit="1"/>
    </xf>
    <xf numFmtId="0" fontId="28" fillId="0" borderId="0" xfId="43" applyFont="1" applyAlignment="1">
      <alignment vertical="center" shrinkToFit="1"/>
    </xf>
    <xf numFmtId="0" fontId="29" fillId="0" borderId="0" xfId="0" applyFont="1">
      <alignment vertical="center"/>
    </xf>
    <xf numFmtId="0" fontId="19" fillId="0" borderId="0" xfId="0" applyFont="1" applyBorder="1" applyAlignment="1" applyProtection="1">
      <alignment horizontal="left" vertical="center" shrinkToFit="1"/>
    </xf>
    <xf numFmtId="0" fontId="1" fillId="0" borderId="0" xfId="44" applyFill="1" applyBorder="1" applyAlignment="1">
      <alignment horizontal="left" vertical="center" shrinkToFit="1"/>
    </xf>
    <xf numFmtId="0" fontId="0" fillId="0" borderId="0" xfId="0" applyFill="1" applyBorder="1" applyAlignment="1">
      <alignment horizontal="left" vertical="center" wrapText="1" shrinkToFit="1"/>
    </xf>
    <xf numFmtId="178" fontId="0" fillId="0" borderId="0" xfId="0" applyNumberFormat="1" applyFill="1" applyBorder="1" applyAlignment="1">
      <alignment horizontal="left" vertical="center" shrinkToFit="1"/>
    </xf>
    <xf numFmtId="178" fontId="1" fillId="0" borderId="0" xfId="44" applyNumberFormat="1" applyFill="1" applyBorder="1" applyAlignment="1">
      <alignment horizontal="center" vertical="center" shrinkToFit="1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31" fillId="0" borderId="0" xfId="0" applyFont="1" applyFill="1" applyBorder="1" applyAlignment="1">
      <alignment horizontal="left" vertical="center" shrinkToFit="1"/>
    </xf>
    <xf numFmtId="0" fontId="1" fillId="0" borderId="0" xfId="44" applyFill="1" applyBorder="1" applyAlignment="1">
      <alignment horizontal="center" vertical="center" wrapText="1" shrinkToFit="1"/>
    </xf>
    <xf numFmtId="0" fontId="32" fillId="0" borderId="0" xfId="0" applyFont="1" applyBorder="1" applyAlignment="1" applyProtection="1">
      <alignment vertical="center" wrapText="1" shrinkToFit="1"/>
    </xf>
    <xf numFmtId="0" fontId="32" fillId="0" borderId="0" xfId="0" applyFont="1" applyBorder="1" applyAlignment="1">
      <alignment vertical="center" wrapText="1" shrinkToFit="1"/>
    </xf>
    <xf numFmtId="0" fontId="19" fillId="24" borderId="0" xfId="0" applyNumberFormat="1" applyFont="1" applyFill="1" applyBorder="1" applyAlignment="1" applyProtection="1">
      <alignment vertical="center" wrapText="1" shrinkToFit="1"/>
    </xf>
    <xf numFmtId="178" fontId="19" fillId="24" borderId="0" xfId="0" applyNumberFormat="1" applyFont="1" applyFill="1" applyBorder="1" applyAlignment="1" applyProtection="1">
      <alignment vertical="center" shrinkToFit="1"/>
    </xf>
    <xf numFmtId="0" fontId="31" fillId="24" borderId="0" xfId="0" applyFont="1" applyFill="1" applyBorder="1" applyAlignment="1">
      <alignment horizontal="left" vertical="center" shrinkToFit="1"/>
    </xf>
    <xf numFmtId="0" fontId="19" fillId="24" borderId="0" xfId="0" applyFont="1" applyFill="1" applyBorder="1" applyAlignment="1" applyProtection="1">
      <alignment vertical="center" wrapText="1" shrinkToFit="1"/>
    </xf>
    <xf numFmtId="0" fontId="19" fillId="24" borderId="0" xfId="0" applyFont="1" applyFill="1" applyBorder="1" applyAlignment="1" applyProtection="1">
      <alignment vertical="center" shrinkToFit="1"/>
    </xf>
    <xf numFmtId="0" fontId="19" fillId="0" borderId="0" xfId="0" applyFont="1" applyFill="1" applyBorder="1" applyAlignment="1" applyProtection="1">
      <alignment vertical="center" wrapText="1" shrinkToFit="1"/>
    </xf>
    <xf numFmtId="0" fontId="27" fillId="0" borderId="12" xfId="43" applyFont="1" applyBorder="1" applyAlignment="1">
      <alignment horizontal="center" vertical="center" shrinkToFit="1"/>
    </xf>
    <xf numFmtId="0" fontId="27" fillId="0" borderId="11" xfId="43" applyFont="1" applyBorder="1" applyAlignment="1">
      <alignment horizontal="center" vertical="center" shrinkToFit="1"/>
    </xf>
    <xf numFmtId="0" fontId="27" fillId="0" borderId="10" xfId="43" applyFont="1" applyBorder="1" applyAlignment="1">
      <alignment horizontal="center" vertical="center" shrinkToFit="1"/>
    </xf>
    <xf numFmtId="0" fontId="27" fillId="0" borderId="13" xfId="43" applyFont="1" applyBorder="1" applyAlignment="1">
      <alignment horizontal="center" vertical="center" shrinkToFit="1"/>
    </xf>
    <xf numFmtId="0" fontId="29" fillId="0" borderId="12" xfId="0" applyFont="1" applyBorder="1" applyAlignment="1">
      <alignment horizontal="center" vertical="center" shrinkToFit="1"/>
    </xf>
    <xf numFmtId="0" fontId="29" fillId="0" borderId="11" xfId="0" applyFont="1" applyBorder="1" applyAlignment="1">
      <alignment horizontal="center" vertical="center" shrinkToFit="1"/>
    </xf>
    <xf numFmtId="0" fontId="29" fillId="0" borderId="10" xfId="0" applyFont="1" applyBorder="1" applyAlignment="1">
      <alignment horizontal="center" vertical="center" shrinkToFit="1"/>
    </xf>
    <xf numFmtId="0" fontId="25" fillId="0" borderId="12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Fill="1" applyBorder="1" applyAlignment="1">
      <alignment horizontal="center" vertical="center"/>
    </xf>
    <xf numFmtId="0" fontId="22" fillId="0" borderId="11" xfId="0" applyFont="1" applyFill="1" applyBorder="1" applyAlignment="1">
      <alignment horizontal="center" vertical="center"/>
    </xf>
    <xf numFmtId="0" fontId="22" fillId="0" borderId="10" xfId="0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0" fontId="30" fillId="0" borderId="21" xfId="0" applyFont="1" applyBorder="1" applyAlignment="1">
      <alignment horizontal="center" vertical="center" wrapText="1"/>
    </xf>
    <xf numFmtId="0" fontId="30" fillId="0" borderId="22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</cellXfs>
  <cellStyles count="48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Normal" xfId="47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2" xfId="25"/>
    <cellStyle name="常规 3" xfId="43"/>
    <cellStyle name="常规 4" xfId="44"/>
    <cellStyle name="常规 5" xfId="45"/>
    <cellStyle name="好" xfId="26" builtinId="26" customBuiltin="1"/>
    <cellStyle name="汇总" xfId="27" builtinId="25" customBuiltin="1"/>
    <cellStyle name="计算" xfId="28" builtinId="22" customBuiltin="1"/>
    <cellStyle name="检查单元格" xfId="29" builtinId="23" customBuiltin="1"/>
    <cellStyle name="解释性文本" xfId="30" builtinId="53" customBuiltin="1"/>
    <cellStyle name="警告文本" xfId="31" builtinId="11" customBuiltin="1"/>
    <cellStyle name="链接单元格" xfId="32" builtinId="24" customBuiltin="1"/>
    <cellStyle name="千位分隔 2" xfId="46"/>
    <cellStyle name="适中" xfId="39" builtinId="28" customBuiltin="1"/>
    <cellStyle name="输出" xfId="40" builtinId="21" customBuiltin="1"/>
    <cellStyle name="输入" xfId="41" builtinId="20" customBuiltin="1"/>
    <cellStyle name="着色 1" xfId="33" builtinId="29" customBuiltin="1"/>
    <cellStyle name="着色 2" xfId="34" builtinId="33" customBuiltin="1"/>
    <cellStyle name="着色 3" xfId="35" builtinId="37" customBuiltin="1"/>
    <cellStyle name="着色 4" xfId="36" builtinId="41" customBuiltin="1"/>
    <cellStyle name="着色 5" xfId="37" builtinId="45" customBuiltin="1"/>
    <cellStyle name="着色 6" xfId="38" builtinId="49" customBuiltin="1"/>
    <cellStyle name="注释" xfId="4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0</xdr:row>
          <xdr:rowOff>38100</xdr:rowOff>
        </xdr:from>
        <xdr:to>
          <xdr:col>22</xdr:col>
          <xdr:colOff>523875</xdr:colOff>
          <xdr:row>1</xdr:row>
          <xdr:rowOff>19050</xdr:rowOff>
        </xdr:to>
        <xdr:sp macro="" textlink="">
          <xdr:nvSpPr>
            <xdr:cNvPr id="1028" name="Button 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数据录入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0</xdr:row>
          <xdr:rowOff>314325</xdr:rowOff>
        </xdr:from>
        <xdr:to>
          <xdr:col>13</xdr:col>
          <xdr:colOff>219075</xdr:colOff>
          <xdr:row>2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0</xdr:row>
          <xdr:rowOff>457200</xdr:rowOff>
        </xdr:from>
        <xdr:to>
          <xdr:col>11</xdr:col>
          <xdr:colOff>228600</xdr:colOff>
          <xdr:row>3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60"/>
  <sheetViews>
    <sheetView tabSelected="1" workbookViewId="0">
      <pane xSplit="1" ySplit="1" topLeftCell="B5" activePane="bottomRight" state="frozen"/>
      <selection pane="topRight"/>
      <selection pane="bottomLeft"/>
      <selection pane="bottomRight" activeCell="L5" sqref="L5"/>
    </sheetView>
  </sheetViews>
  <sheetFormatPr defaultColWidth="9" defaultRowHeight="13.5" x14ac:dyDescent="0.15"/>
  <cols>
    <col min="1" max="1" width="3.125" style="6" customWidth="1"/>
    <col min="2" max="2" width="14.375" style="31" customWidth="1"/>
    <col min="3" max="3" width="5.875" style="35" customWidth="1"/>
    <col min="4" max="4" width="6.75" style="1" customWidth="1"/>
    <col min="5" max="5" width="8.875" style="30" customWidth="1"/>
    <col min="6" max="7" width="9.75" style="2" customWidth="1"/>
    <col min="8" max="8" width="6.25" style="2" customWidth="1"/>
    <col min="9" max="9" width="4.875" style="2" customWidth="1"/>
    <col min="10" max="10" width="4.125" style="2" customWidth="1"/>
    <col min="11" max="11" width="6.25" style="2" customWidth="1"/>
    <col min="12" max="12" width="12" style="8" customWidth="1"/>
    <col min="13" max="13" width="3.625" style="2" customWidth="1"/>
    <col min="14" max="14" width="5.25" style="2" customWidth="1"/>
    <col min="15" max="15" width="9.75" style="2" customWidth="1"/>
    <col min="16" max="16" width="9.75" style="38" customWidth="1"/>
    <col min="17" max="17" width="9.75" style="2" customWidth="1"/>
    <col min="18" max="18" width="14.25" style="8" customWidth="1"/>
    <col min="19" max="19" width="9.75" style="2" customWidth="1"/>
    <col min="20" max="20" width="3.875" style="2" customWidth="1"/>
    <col min="21" max="21" width="7.125" style="2" customWidth="1"/>
    <col min="22" max="16384" width="9" style="2"/>
  </cols>
  <sheetData>
    <row r="1" spans="1:20" ht="55.5" customHeight="1" x14ac:dyDescent="0.15">
      <c r="A1" s="39" t="s">
        <v>27</v>
      </c>
      <c r="B1" s="40" t="s">
        <v>8</v>
      </c>
      <c r="C1" s="41" t="s">
        <v>244</v>
      </c>
      <c r="D1" s="28" t="s">
        <v>9</v>
      </c>
      <c r="E1" s="42" t="s">
        <v>16</v>
      </c>
      <c r="F1" s="43" t="s">
        <v>10</v>
      </c>
      <c r="G1" s="3" t="s">
        <v>33</v>
      </c>
      <c r="H1" s="44" t="s">
        <v>19</v>
      </c>
      <c r="I1" s="3" t="s">
        <v>11</v>
      </c>
      <c r="J1" s="3" t="s">
        <v>12</v>
      </c>
      <c r="K1" s="43" t="s">
        <v>20</v>
      </c>
      <c r="L1" s="7" t="s">
        <v>18</v>
      </c>
      <c r="M1" s="3" t="s">
        <v>13</v>
      </c>
      <c r="N1" s="4" t="s">
        <v>17</v>
      </c>
      <c r="O1" s="3" t="s">
        <v>14</v>
      </c>
      <c r="P1" s="37" t="s">
        <v>251</v>
      </c>
      <c r="Q1" s="43" t="s">
        <v>15</v>
      </c>
      <c r="R1" s="7" t="s">
        <v>31</v>
      </c>
      <c r="S1" s="43" t="s">
        <v>21</v>
      </c>
      <c r="T1" s="4" t="s">
        <v>199</v>
      </c>
    </row>
    <row r="2" spans="1:20" ht="27" x14ac:dyDescent="0.15">
      <c r="A2" s="6">
        <v>5</v>
      </c>
      <c r="B2" s="31">
        <v>43688</v>
      </c>
      <c r="C2" s="35">
        <v>284</v>
      </c>
      <c r="D2" s="1" t="s">
        <v>28</v>
      </c>
      <c r="E2" s="30" t="s">
        <v>29</v>
      </c>
      <c r="L2" s="8" t="s">
        <v>30</v>
      </c>
    </row>
    <row r="3" spans="1:20" ht="67.5" x14ac:dyDescent="0.15">
      <c r="A3" s="6">
        <v>7</v>
      </c>
      <c r="B3" s="31">
        <v>43689</v>
      </c>
      <c r="C3" s="35">
        <v>20180282</v>
      </c>
      <c r="D3" s="1" t="s">
        <v>23</v>
      </c>
      <c r="E3" s="30" t="s">
        <v>25</v>
      </c>
      <c r="F3" s="2">
        <v>300</v>
      </c>
      <c r="G3" s="2" t="s">
        <v>22</v>
      </c>
      <c r="L3" s="8" t="s">
        <v>26</v>
      </c>
      <c r="M3" s="2">
        <v>480</v>
      </c>
      <c r="N3" s="2">
        <v>30150</v>
      </c>
    </row>
    <row r="4" spans="1:20" ht="45" x14ac:dyDescent="0.15">
      <c r="A4" s="6">
        <v>9</v>
      </c>
      <c r="B4" s="31">
        <v>43454</v>
      </c>
      <c r="C4" s="35">
        <v>1220</v>
      </c>
      <c r="D4" s="1" t="s">
        <v>184</v>
      </c>
      <c r="E4" s="30" t="s">
        <v>185</v>
      </c>
      <c r="L4" s="8" t="s">
        <v>186</v>
      </c>
      <c r="N4" s="2">
        <v>16072</v>
      </c>
      <c r="Q4" s="2" t="s">
        <v>187</v>
      </c>
      <c r="R4" s="8" t="s">
        <v>188</v>
      </c>
    </row>
    <row r="5" spans="1:20" ht="117" x14ac:dyDescent="0.15">
      <c r="A5" s="6">
        <v>10</v>
      </c>
      <c r="B5" s="31">
        <v>43827</v>
      </c>
      <c r="C5" s="35">
        <v>2</v>
      </c>
      <c r="D5" s="1" t="s">
        <v>34</v>
      </c>
      <c r="E5" s="30" t="s">
        <v>35</v>
      </c>
      <c r="F5" s="2">
        <v>1000</v>
      </c>
      <c r="G5" s="2" t="s">
        <v>36</v>
      </c>
      <c r="J5" s="2" t="s">
        <v>38</v>
      </c>
      <c r="L5" s="8" t="s">
        <v>200</v>
      </c>
      <c r="N5" s="2">
        <v>6240</v>
      </c>
      <c r="Q5" s="2" t="s">
        <v>39</v>
      </c>
      <c r="R5" s="9" t="s">
        <v>37</v>
      </c>
      <c r="S5" s="2">
        <v>3670</v>
      </c>
    </row>
    <row r="6" spans="1:20" ht="57" x14ac:dyDescent="0.15">
      <c r="A6" s="6">
        <v>13</v>
      </c>
      <c r="B6" s="32">
        <v>43325</v>
      </c>
      <c r="D6" s="29" t="s">
        <v>114</v>
      </c>
      <c r="E6" s="36" t="s">
        <v>41</v>
      </c>
      <c r="Q6" s="4" t="s">
        <v>32</v>
      </c>
      <c r="R6" s="10" t="s">
        <v>42</v>
      </c>
      <c r="S6" s="11">
        <v>1610</v>
      </c>
    </row>
    <row r="7" spans="1:20" ht="57" x14ac:dyDescent="0.15">
      <c r="A7" s="6">
        <v>14</v>
      </c>
      <c r="B7" s="32">
        <v>43325</v>
      </c>
      <c r="D7" s="29" t="s">
        <v>28</v>
      </c>
      <c r="E7" s="36" t="s">
        <v>43</v>
      </c>
      <c r="Q7" s="4" t="s">
        <v>32</v>
      </c>
      <c r="R7" s="10" t="s">
        <v>44</v>
      </c>
      <c r="S7" s="11">
        <v>1170</v>
      </c>
    </row>
    <row r="8" spans="1:20" ht="42.75" x14ac:dyDescent="0.15">
      <c r="A8" s="6">
        <v>15</v>
      </c>
      <c r="B8" s="32">
        <v>43326</v>
      </c>
      <c r="D8" s="29" t="s">
        <v>40</v>
      </c>
      <c r="E8" s="36" t="s">
        <v>45</v>
      </c>
      <c r="Q8" s="4" t="s">
        <v>32</v>
      </c>
      <c r="R8" s="10" t="s">
        <v>46</v>
      </c>
      <c r="S8" s="11">
        <v>1230</v>
      </c>
    </row>
    <row r="9" spans="1:20" ht="71.25" x14ac:dyDescent="0.15">
      <c r="A9" s="6">
        <v>16</v>
      </c>
      <c r="B9" s="32">
        <v>43327</v>
      </c>
      <c r="D9" s="29" t="s">
        <v>28</v>
      </c>
      <c r="E9" s="36" t="s">
        <v>47</v>
      </c>
      <c r="Q9" s="4" t="s">
        <v>32</v>
      </c>
      <c r="R9" s="10" t="s">
        <v>42</v>
      </c>
      <c r="S9" s="11">
        <v>1900</v>
      </c>
    </row>
    <row r="10" spans="1:20" ht="42.75" x14ac:dyDescent="0.15">
      <c r="A10" s="6">
        <v>17</v>
      </c>
      <c r="B10" s="32">
        <v>43327</v>
      </c>
      <c r="D10" s="29" t="s">
        <v>28</v>
      </c>
      <c r="E10" s="36" t="s">
        <v>48</v>
      </c>
      <c r="Q10" s="4" t="s">
        <v>32</v>
      </c>
      <c r="R10" s="10" t="s">
        <v>49</v>
      </c>
      <c r="S10" s="11">
        <v>1950</v>
      </c>
    </row>
    <row r="11" spans="1:20" ht="57" x14ac:dyDescent="0.15">
      <c r="A11" s="6">
        <v>18</v>
      </c>
      <c r="B11" s="32">
        <v>43327</v>
      </c>
      <c r="D11" s="29" t="s">
        <v>28</v>
      </c>
      <c r="E11" s="36" t="s">
        <v>50</v>
      </c>
      <c r="Q11" s="4" t="s">
        <v>32</v>
      </c>
      <c r="R11" s="10" t="s">
        <v>51</v>
      </c>
      <c r="S11" s="11">
        <v>12000</v>
      </c>
    </row>
    <row r="12" spans="1:20" ht="71.25" x14ac:dyDescent="0.15">
      <c r="A12" s="6">
        <v>19</v>
      </c>
      <c r="B12" s="32">
        <v>43330</v>
      </c>
      <c r="D12" s="29" t="s">
        <v>114</v>
      </c>
      <c r="E12" s="36" t="s">
        <v>52</v>
      </c>
      <c r="Q12" s="4" t="s">
        <v>32</v>
      </c>
      <c r="R12" s="10" t="s">
        <v>53</v>
      </c>
      <c r="S12" s="11">
        <v>2050</v>
      </c>
    </row>
    <row r="13" spans="1:20" ht="57" x14ac:dyDescent="0.15">
      <c r="A13" s="6">
        <v>20</v>
      </c>
      <c r="B13" s="32">
        <v>43330</v>
      </c>
      <c r="D13" s="29" t="s">
        <v>28</v>
      </c>
      <c r="E13" s="36" t="s">
        <v>54</v>
      </c>
      <c r="Q13" s="4" t="s">
        <v>32</v>
      </c>
      <c r="R13" s="10" t="s">
        <v>55</v>
      </c>
      <c r="S13" s="11">
        <v>1050</v>
      </c>
    </row>
    <row r="14" spans="1:20" ht="57" x14ac:dyDescent="0.15">
      <c r="A14" s="6">
        <v>21</v>
      </c>
      <c r="B14" s="32">
        <v>43330</v>
      </c>
      <c r="D14" s="29" t="s">
        <v>28</v>
      </c>
      <c r="E14" s="36" t="s">
        <v>56</v>
      </c>
      <c r="Q14" s="4" t="s">
        <v>32</v>
      </c>
      <c r="R14" s="10" t="s">
        <v>57</v>
      </c>
      <c r="S14" s="11">
        <v>20440</v>
      </c>
    </row>
    <row r="15" spans="1:20" ht="42.75" x14ac:dyDescent="0.15">
      <c r="A15" s="6">
        <v>22</v>
      </c>
      <c r="B15" s="32">
        <v>43332</v>
      </c>
      <c r="D15" s="29" t="s">
        <v>114</v>
      </c>
      <c r="E15" s="36" t="s">
        <v>58</v>
      </c>
      <c r="Q15" s="4" t="s">
        <v>32</v>
      </c>
      <c r="R15" s="10" t="s">
        <v>59</v>
      </c>
      <c r="S15" s="11">
        <v>620</v>
      </c>
    </row>
    <row r="16" spans="1:20" ht="57" x14ac:dyDescent="0.15">
      <c r="A16" s="6">
        <v>23</v>
      </c>
      <c r="B16" s="32">
        <v>43334</v>
      </c>
      <c r="D16" s="29" t="s">
        <v>114</v>
      </c>
      <c r="E16" s="36" t="s">
        <v>60</v>
      </c>
      <c r="Q16" s="4" t="s">
        <v>32</v>
      </c>
      <c r="R16" s="10" t="s">
        <v>61</v>
      </c>
      <c r="S16" s="11">
        <v>1680</v>
      </c>
    </row>
    <row r="17" spans="1:19" ht="71.25" x14ac:dyDescent="0.15">
      <c r="A17" s="6">
        <v>24</v>
      </c>
      <c r="B17" s="32">
        <v>43336</v>
      </c>
      <c r="D17" s="29" t="s">
        <v>114</v>
      </c>
      <c r="E17" s="36" t="s">
        <v>62</v>
      </c>
      <c r="Q17" s="4" t="s">
        <v>32</v>
      </c>
      <c r="R17" s="10" t="s">
        <v>63</v>
      </c>
      <c r="S17" s="11">
        <v>980</v>
      </c>
    </row>
    <row r="18" spans="1:19" ht="28.5" x14ac:dyDescent="0.15">
      <c r="A18" s="6">
        <v>25</v>
      </c>
      <c r="B18" s="32">
        <v>43344</v>
      </c>
      <c r="D18" s="29" t="s">
        <v>146</v>
      </c>
      <c r="E18" s="36" t="s">
        <v>147</v>
      </c>
      <c r="N18" s="2">
        <v>580</v>
      </c>
      <c r="Q18" s="4" t="s">
        <v>144</v>
      </c>
      <c r="R18" s="10" t="s">
        <v>148</v>
      </c>
      <c r="S18" s="11">
        <v>580</v>
      </c>
    </row>
    <row r="19" spans="1:19" ht="28.5" x14ac:dyDescent="0.15">
      <c r="A19" s="6">
        <v>26</v>
      </c>
      <c r="B19" s="32">
        <v>43344</v>
      </c>
      <c r="D19" s="29" t="s">
        <v>116</v>
      </c>
      <c r="E19" s="36" t="s">
        <v>64</v>
      </c>
      <c r="Q19" s="4" t="s">
        <v>32</v>
      </c>
      <c r="R19" s="10" t="s">
        <v>65</v>
      </c>
      <c r="S19" s="11">
        <v>580</v>
      </c>
    </row>
    <row r="20" spans="1:19" ht="42.75" x14ac:dyDescent="0.15">
      <c r="A20" s="6">
        <v>27</v>
      </c>
      <c r="B20" s="32">
        <v>43351</v>
      </c>
      <c r="D20" s="29" t="s">
        <v>114</v>
      </c>
      <c r="E20" s="36" t="s">
        <v>66</v>
      </c>
      <c r="Q20" s="4" t="s">
        <v>32</v>
      </c>
      <c r="R20" s="10" t="s">
        <v>67</v>
      </c>
      <c r="S20" s="11">
        <v>850</v>
      </c>
    </row>
    <row r="21" spans="1:19" ht="42.75" x14ac:dyDescent="0.15">
      <c r="A21" s="6">
        <v>28</v>
      </c>
      <c r="B21" s="32">
        <v>43355</v>
      </c>
      <c r="D21" s="29" t="s">
        <v>114</v>
      </c>
      <c r="E21" s="36" t="s">
        <v>68</v>
      </c>
      <c r="Q21" s="4" t="s">
        <v>32</v>
      </c>
      <c r="R21" s="10" t="s">
        <v>69</v>
      </c>
      <c r="S21" s="11">
        <v>3390</v>
      </c>
    </row>
    <row r="22" spans="1:19" ht="28.5" x14ac:dyDescent="0.15">
      <c r="A22" s="6">
        <v>29</v>
      </c>
      <c r="B22" s="32">
        <v>43363</v>
      </c>
      <c r="D22" s="29" t="s">
        <v>114</v>
      </c>
      <c r="E22" s="36" t="s">
        <v>70</v>
      </c>
      <c r="Q22" s="4" t="s">
        <v>32</v>
      </c>
      <c r="R22" s="10" t="s">
        <v>71</v>
      </c>
      <c r="S22" s="11">
        <v>480</v>
      </c>
    </row>
    <row r="23" spans="1:19" ht="42.75" x14ac:dyDescent="0.15">
      <c r="A23" s="6">
        <v>30</v>
      </c>
      <c r="B23" s="32">
        <v>43365</v>
      </c>
      <c r="D23" s="29" t="s">
        <v>114</v>
      </c>
      <c r="E23" s="36" t="s">
        <v>72</v>
      </c>
      <c r="Q23" s="4" t="s">
        <v>32</v>
      </c>
      <c r="R23" s="10" t="s">
        <v>73</v>
      </c>
      <c r="S23" s="11">
        <v>1480</v>
      </c>
    </row>
    <row r="24" spans="1:19" ht="42.75" x14ac:dyDescent="0.15">
      <c r="A24" s="6">
        <v>31</v>
      </c>
      <c r="B24" s="32">
        <v>43369</v>
      </c>
      <c r="D24" s="29" t="s">
        <v>117</v>
      </c>
      <c r="E24" s="36" t="s">
        <v>74</v>
      </c>
      <c r="Q24" s="4" t="s">
        <v>32</v>
      </c>
      <c r="R24" s="10" t="s">
        <v>75</v>
      </c>
      <c r="S24" s="11">
        <v>4240</v>
      </c>
    </row>
    <row r="25" spans="1:19" ht="28.5" x14ac:dyDescent="0.15">
      <c r="A25" s="6">
        <v>32</v>
      </c>
      <c r="B25" s="32">
        <v>43379</v>
      </c>
      <c r="D25" s="29" t="s">
        <v>114</v>
      </c>
      <c r="E25" s="36" t="s">
        <v>76</v>
      </c>
      <c r="Q25" s="4" t="s">
        <v>32</v>
      </c>
      <c r="R25" s="10" t="s">
        <v>77</v>
      </c>
      <c r="S25" s="11">
        <v>920</v>
      </c>
    </row>
    <row r="26" spans="1:19" ht="42.75" x14ac:dyDescent="0.15">
      <c r="A26" s="6">
        <v>33</v>
      </c>
      <c r="B26" s="32">
        <v>43382</v>
      </c>
      <c r="D26" s="29" t="s">
        <v>115</v>
      </c>
      <c r="E26" s="36" t="s">
        <v>78</v>
      </c>
      <c r="Q26" s="4" t="s">
        <v>32</v>
      </c>
      <c r="R26" s="10" t="s">
        <v>79</v>
      </c>
      <c r="S26" s="11">
        <v>1500</v>
      </c>
    </row>
    <row r="27" spans="1:19" ht="42.75" x14ac:dyDescent="0.15">
      <c r="A27" s="6">
        <v>34</v>
      </c>
      <c r="B27" s="32">
        <v>43387</v>
      </c>
      <c r="D27" s="29" t="s">
        <v>181</v>
      </c>
      <c r="E27" s="36" t="s">
        <v>80</v>
      </c>
      <c r="Q27" s="4" t="s">
        <v>32</v>
      </c>
      <c r="R27" s="10" t="s">
        <v>81</v>
      </c>
      <c r="S27" s="11">
        <v>1770</v>
      </c>
    </row>
    <row r="28" spans="1:19" ht="42.75" x14ac:dyDescent="0.15">
      <c r="A28" s="6">
        <v>35</v>
      </c>
      <c r="B28" s="32">
        <v>43388</v>
      </c>
      <c r="D28" s="29" t="s">
        <v>181</v>
      </c>
      <c r="E28" s="36" t="s">
        <v>82</v>
      </c>
      <c r="Q28" s="4" t="s">
        <v>32</v>
      </c>
      <c r="R28" s="10" t="s">
        <v>83</v>
      </c>
      <c r="S28" s="11">
        <v>440</v>
      </c>
    </row>
    <row r="29" spans="1:19" ht="28.5" x14ac:dyDescent="0.15">
      <c r="A29" s="6">
        <v>36</v>
      </c>
      <c r="B29" s="32">
        <v>43390</v>
      </c>
      <c r="D29" s="29" t="s">
        <v>181</v>
      </c>
      <c r="E29" s="36" t="s">
        <v>84</v>
      </c>
      <c r="Q29" s="4" t="s">
        <v>32</v>
      </c>
      <c r="R29" s="10" t="s">
        <v>85</v>
      </c>
      <c r="S29" s="11">
        <v>540</v>
      </c>
    </row>
    <row r="30" spans="1:19" ht="28.5" x14ac:dyDescent="0.15">
      <c r="A30" s="6">
        <v>37</v>
      </c>
      <c r="B30" s="32">
        <v>43395</v>
      </c>
      <c r="D30" s="29" t="s">
        <v>181</v>
      </c>
      <c r="E30" s="36" t="s">
        <v>86</v>
      </c>
      <c r="Q30" s="4" t="s">
        <v>32</v>
      </c>
      <c r="R30" s="10" t="s">
        <v>87</v>
      </c>
      <c r="S30" s="11">
        <v>920</v>
      </c>
    </row>
    <row r="31" spans="1:19" ht="28.5" x14ac:dyDescent="0.15">
      <c r="A31" s="6">
        <v>38</v>
      </c>
      <c r="B31" s="32">
        <v>43411</v>
      </c>
      <c r="D31" s="29" t="s">
        <v>115</v>
      </c>
      <c r="E31" s="36" t="s">
        <v>88</v>
      </c>
      <c r="Q31" s="4" t="s">
        <v>32</v>
      </c>
      <c r="R31" s="10" t="s">
        <v>89</v>
      </c>
      <c r="S31" s="11">
        <v>2050</v>
      </c>
    </row>
    <row r="32" spans="1:19" ht="42.75" x14ac:dyDescent="0.15">
      <c r="A32" s="6">
        <v>39</v>
      </c>
      <c r="B32" s="32">
        <v>43421</v>
      </c>
      <c r="D32" s="29" t="s">
        <v>183</v>
      </c>
      <c r="E32" s="36" t="s">
        <v>90</v>
      </c>
      <c r="Q32" s="4" t="s">
        <v>32</v>
      </c>
      <c r="R32" s="10" t="s">
        <v>91</v>
      </c>
      <c r="S32" s="11">
        <v>850</v>
      </c>
    </row>
    <row r="33" spans="1:19" ht="28.5" x14ac:dyDescent="0.15">
      <c r="A33" s="6">
        <v>40</v>
      </c>
      <c r="B33" s="32">
        <v>43435</v>
      </c>
      <c r="D33" s="29" t="s">
        <v>182</v>
      </c>
      <c r="E33" s="36" t="s">
        <v>92</v>
      </c>
      <c r="Q33" s="4" t="s">
        <v>32</v>
      </c>
      <c r="R33" s="10" t="s">
        <v>93</v>
      </c>
      <c r="S33" s="11">
        <v>3780</v>
      </c>
    </row>
    <row r="34" spans="1:19" ht="42.75" x14ac:dyDescent="0.15">
      <c r="A34" s="6">
        <v>41</v>
      </c>
      <c r="B34" s="32">
        <v>43805</v>
      </c>
      <c r="D34" s="29" t="s">
        <v>28</v>
      </c>
      <c r="E34" s="36" t="s">
        <v>94</v>
      </c>
      <c r="Q34" s="4" t="s">
        <v>32</v>
      </c>
      <c r="R34" s="10" t="s">
        <v>95</v>
      </c>
      <c r="S34" s="11">
        <v>1460</v>
      </c>
    </row>
    <row r="35" spans="1:19" ht="42.75" x14ac:dyDescent="0.15">
      <c r="A35" s="6">
        <v>42</v>
      </c>
      <c r="B35" s="32">
        <v>43805</v>
      </c>
      <c r="D35" s="29" t="s">
        <v>115</v>
      </c>
      <c r="E35" s="36" t="s">
        <v>96</v>
      </c>
      <c r="Q35" s="4" t="s">
        <v>32</v>
      </c>
      <c r="R35" s="10" t="s">
        <v>97</v>
      </c>
      <c r="S35" s="11">
        <v>1340</v>
      </c>
    </row>
    <row r="36" spans="1:19" ht="42.75" x14ac:dyDescent="0.15">
      <c r="A36" s="6">
        <v>43</v>
      </c>
      <c r="B36" s="32">
        <v>43812</v>
      </c>
      <c r="D36" s="29" t="s">
        <v>28</v>
      </c>
      <c r="E36" s="36" t="s">
        <v>98</v>
      </c>
      <c r="Q36" s="4" t="s">
        <v>32</v>
      </c>
      <c r="R36" s="10" t="s">
        <v>99</v>
      </c>
      <c r="S36" s="11">
        <v>1220</v>
      </c>
    </row>
    <row r="37" spans="1:19" ht="57" x14ac:dyDescent="0.15">
      <c r="A37" s="6">
        <v>44</v>
      </c>
      <c r="B37" s="32">
        <v>43812</v>
      </c>
      <c r="D37" s="29" t="s">
        <v>28</v>
      </c>
      <c r="E37" s="36" t="s">
        <v>100</v>
      </c>
      <c r="Q37" s="4" t="s">
        <v>32</v>
      </c>
      <c r="R37" s="10" t="s">
        <v>95</v>
      </c>
      <c r="S37" s="11">
        <v>1440</v>
      </c>
    </row>
    <row r="38" spans="1:19" ht="57" x14ac:dyDescent="0.15">
      <c r="A38" s="6">
        <v>45</v>
      </c>
      <c r="B38" s="32">
        <v>43812</v>
      </c>
      <c r="D38" s="29" t="s">
        <v>28</v>
      </c>
      <c r="E38" s="36" t="s">
        <v>101</v>
      </c>
      <c r="Q38" s="4" t="s">
        <v>32</v>
      </c>
      <c r="R38" s="10" t="s">
        <v>102</v>
      </c>
      <c r="S38" s="11">
        <v>3330</v>
      </c>
    </row>
    <row r="39" spans="1:19" ht="57" x14ac:dyDescent="0.15">
      <c r="A39" s="6">
        <v>46</v>
      </c>
      <c r="B39" s="32">
        <v>43812</v>
      </c>
      <c r="D39" s="29" t="s">
        <v>28</v>
      </c>
      <c r="E39" s="36" t="s">
        <v>103</v>
      </c>
      <c r="Q39" s="4" t="s">
        <v>32</v>
      </c>
      <c r="R39" s="10" t="s">
        <v>104</v>
      </c>
      <c r="S39" s="11">
        <v>35520</v>
      </c>
    </row>
    <row r="40" spans="1:19" ht="42.75" x14ac:dyDescent="0.15">
      <c r="A40" s="6">
        <v>47</v>
      </c>
      <c r="B40" s="32">
        <v>43813</v>
      </c>
      <c r="D40" s="29" t="s">
        <v>28</v>
      </c>
      <c r="E40" s="36" t="s">
        <v>105</v>
      </c>
      <c r="Q40" s="4" t="s">
        <v>32</v>
      </c>
      <c r="R40" s="10" t="s">
        <v>106</v>
      </c>
      <c r="S40" s="11">
        <v>310</v>
      </c>
    </row>
    <row r="41" spans="1:19" ht="42.75" x14ac:dyDescent="0.15">
      <c r="A41" s="6">
        <v>48</v>
      </c>
      <c r="B41" s="32">
        <v>43813</v>
      </c>
      <c r="D41" s="29" t="s">
        <v>177</v>
      </c>
      <c r="E41" s="36" t="s">
        <v>178</v>
      </c>
      <c r="G41" s="2" t="s">
        <v>22</v>
      </c>
      <c r="Q41" s="4" t="s">
        <v>179</v>
      </c>
      <c r="R41" s="10" t="s">
        <v>180</v>
      </c>
      <c r="S41" s="11">
        <v>14920</v>
      </c>
    </row>
    <row r="42" spans="1:19" ht="28.5" x14ac:dyDescent="0.15">
      <c r="A42" s="6">
        <v>49</v>
      </c>
      <c r="B42" s="32">
        <v>43814</v>
      </c>
      <c r="D42" s="29" t="s">
        <v>114</v>
      </c>
      <c r="E42" s="36" t="s">
        <v>107</v>
      </c>
      <c r="Q42" s="4" t="s">
        <v>32</v>
      </c>
      <c r="R42" s="10" t="s">
        <v>108</v>
      </c>
      <c r="S42" s="11">
        <v>980</v>
      </c>
    </row>
    <row r="43" spans="1:19" ht="28.5" x14ac:dyDescent="0.15">
      <c r="A43" s="6">
        <v>50</v>
      </c>
      <c r="B43" s="32">
        <v>43825</v>
      </c>
      <c r="D43" s="29" t="s">
        <v>28</v>
      </c>
      <c r="E43" s="36" t="s">
        <v>109</v>
      </c>
      <c r="Q43" s="4" t="s">
        <v>32</v>
      </c>
      <c r="R43" s="10" t="s">
        <v>99</v>
      </c>
      <c r="S43" s="11">
        <v>1220</v>
      </c>
    </row>
    <row r="44" spans="1:19" ht="42.75" x14ac:dyDescent="0.15">
      <c r="A44" s="6">
        <v>51</v>
      </c>
      <c r="B44" s="32">
        <v>43825</v>
      </c>
      <c r="D44" s="29" t="s">
        <v>28</v>
      </c>
      <c r="E44" s="36" t="s">
        <v>110</v>
      </c>
      <c r="Q44" s="4" t="s">
        <v>32</v>
      </c>
      <c r="R44" s="10" t="s">
        <v>111</v>
      </c>
      <c r="S44" s="11">
        <v>820</v>
      </c>
    </row>
    <row r="45" spans="1:19" ht="57" x14ac:dyDescent="0.15">
      <c r="A45" s="6">
        <v>52</v>
      </c>
      <c r="B45" s="32">
        <v>43825</v>
      </c>
      <c r="D45" s="29" t="s">
        <v>28</v>
      </c>
      <c r="E45" s="36" t="s">
        <v>112</v>
      </c>
      <c r="Q45" s="4" t="s">
        <v>32</v>
      </c>
      <c r="R45" s="10" t="s">
        <v>113</v>
      </c>
      <c r="S45" s="11">
        <v>2060</v>
      </c>
    </row>
    <row r="46" spans="1:19" ht="28.5" x14ac:dyDescent="0.15">
      <c r="A46" s="6">
        <v>54</v>
      </c>
      <c r="B46" s="32">
        <v>43825</v>
      </c>
      <c r="C46" s="35">
        <v>1261</v>
      </c>
      <c r="D46" s="29" t="s">
        <v>170</v>
      </c>
      <c r="E46" s="36" t="s">
        <v>174</v>
      </c>
      <c r="G46" s="2" t="s">
        <v>169</v>
      </c>
      <c r="Q46" s="4" t="s">
        <v>175</v>
      </c>
      <c r="R46" s="10" t="s">
        <v>176</v>
      </c>
      <c r="S46" s="11">
        <v>1890</v>
      </c>
    </row>
    <row r="47" spans="1:19" ht="27" x14ac:dyDescent="0.15">
      <c r="A47" s="6">
        <v>55</v>
      </c>
      <c r="B47" s="31">
        <v>43825</v>
      </c>
      <c r="C47" s="35">
        <v>1262</v>
      </c>
      <c r="D47" s="1" t="s">
        <v>170</v>
      </c>
      <c r="E47" s="30" t="s">
        <v>171</v>
      </c>
      <c r="Q47" s="2" t="s">
        <v>172</v>
      </c>
      <c r="R47" s="8" t="s">
        <v>173</v>
      </c>
      <c r="S47" s="2">
        <v>3670</v>
      </c>
    </row>
    <row r="48" spans="1:19" ht="67.5" x14ac:dyDescent="0.15">
      <c r="A48" s="6">
        <v>56</v>
      </c>
      <c r="B48" s="31">
        <v>43469</v>
      </c>
      <c r="C48" s="35">
        <v>9</v>
      </c>
      <c r="D48" s="5" t="s">
        <v>189</v>
      </c>
      <c r="E48" s="30" t="s">
        <v>195</v>
      </c>
      <c r="F48" s="2">
        <v>4000</v>
      </c>
      <c r="G48" s="2" t="s">
        <v>22</v>
      </c>
      <c r="J48" s="2" t="s">
        <v>196</v>
      </c>
      <c r="O48" s="2">
        <v>56</v>
      </c>
      <c r="Q48" s="2" t="s">
        <v>192</v>
      </c>
      <c r="R48" s="8" t="s">
        <v>197</v>
      </c>
    </row>
    <row r="49" spans="1:20" ht="40.5" x14ac:dyDescent="0.15">
      <c r="A49" s="6">
        <v>57</v>
      </c>
      <c r="B49" s="31">
        <v>43469</v>
      </c>
      <c r="C49" s="35">
        <v>141</v>
      </c>
      <c r="D49" s="1" t="s">
        <v>121</v>
      </c>
      <c r="E49" s="30" t="s">
        <v>122</v>
      </c>
      <c r="J49" s="2" t="s">
        <v>38</v>
      </c>
      <c r="L49" s="8" t="s">
        <v>123</v>
      </c>
      <c r="P49" s="38" t="s">
        <v>124</v>
      </c>
      <c r="R49" s="8" t="s">
        <v>123</v>
      </c>
    </row>
    <row r="50" spans="1:20" ht="54" x14ac:dyDescent="0.15">
      <c r="A50" s="6">
        <v>58</v>
      </c>
      <c r="B50" s="31">
        <v>43469</v>
      </c>
      <c r="C50" s="35">
        <v>142</v>
      </c>
      <c r="D50" s="1" t="s">
        <v>121</v>
      </c>
      <c r="E50" s="30" t="s">
        <v>125</v>
      </c>
      <c r="F50" s="2">
        <v>3100</v>
      </c>
      <c r="G50" s="2" t="s">
        <v>22</v>
      </c>
      <c r="J50" s="2" t="s">
        <v>38</v>
      </c>
      <c r="L50" s="8" t="s">
        <v>126</v>
      </c>
      <c r="R50" s="8" t="s">
        <v>127</v>
      </c>
    </row>
    <row r="51" spans="1:20" ht="40.5" x14ac:dyDescent="0.15">
      <c r="A51" s="6">
        <v>59</v>
      </c>
      <c r="B51" s="31">
        <v>43469</v>
      </c>
      <c r="C51" s="35">
        <v>143</v>
      </c>
      <c r="D51" s="1" t="s">
        <v>121</v>
      </c>
      <c r="E51" s="30" t="s">
        <v>128</v>
      </c>
      <c r="F51" s="2">
        <v>5200</v>
      </c>
      <c r="G51" s="2" t="s">
        <v>22</v>
      </c>
      <c r="L51" s="8" t="s">
        <v>129</v>
      </c>
      <c r="R51" s="8" t="s">
        <v>130</v>
      </c>
    </row>
    <row r="52" spans="1:20" ht="90" x14ac:dyDescent="0.15">
      <c r="A52" s="6">
        <v>61</v>
      </c>
      <c r="B52" s="31">
        <v>43330</v>
      </c>
      <c r="C52" s="35">
        <v>10</v>
      </c>
      <c r="D52" s="1" t="s">
        <v>142</v>
      </c>
      <c r="E52" s="30" t="s">
        <v>143</v>
      </c>
      <c r="P52" s="38" t="s">
        <v>252</v>
      </c>
      <c r="Q52" s="2" t="s">
        <v>144</v>
      </c>
      <c r="R52" s="8" t="s">
        <v>145</v>
      </c>
      <c r="S52" s="2">
        <v>20440</v>
      </c>
    </row>
    <row r="53" spans="1:20" ht="40.5" x14ac:dyDescent="0.15">
      <c r="A53" s="6">
        <v>62</v>
      </c>
      <c r="B53" s="31">
        <v>43469</v>
      </c>
      <c r="C53" s="35">
        <v>7</v>
      </c>
      <c r="D53" s="1" t="s">
        <v>23</v>
      </c>
      <c r="E53" s="30" t="s">
        <v>118</v>
      </c>
      <c r="F53" s="2">
        <v>3000</v>
      </c>
      <c r="J53" s="2" t="s">
        <v>38</v>
      </c>
      <c r="L53" s="8" t="s">
        <v>119</v>
      </c>
      <c r="O53" s="2">
        <v>52</v>
      </c>
      <c r="Q53" s="2" t="s">
        <v>137</v>
      </c>
      <c r="R53" s="8" t="s">
        <v>120</v>
      </c>
    </row>
    <row r="54" spans="1:20" ht="67.5" x14ac:dyDescent="0.15">
      <c r="A54" s="6">
        <v>63</v>
      </c>
      <c r="B54" s="31">
        <v>43469</v>
      </c>
      <c r="C54" s="35">
        <v>8</v>
      </c>
      <c r="D54" s="1" t="s">
        <v>189</v>
      </c>
      <c r="E54" s="30" t="s">
        <v>190</v>
      </c>
      <c r="F54" s="2">
        <v>3000</v>
      </c>
      <c r="G54" s="2" t="s">
        <v>22</v>
      </c>
      <c r="L54" s="8" t="s">
        <v>191</v>
      </c>
      <c r="M54" s="2">
        <v>56</v>
      </c>
      <c r="O54" s="2">
        <v>44</v>
      </c>
      <c r="Q54" s="2" t="s">
        <v>193</v>
      </c>
      <c r="R54" s="8" t="s">
        <v>194</v>
      </c>
    </row>
    <row r="55" spans="1:20" ht="67.5" x14ac:dyDescent="0.15">
      <c r="A55" s="6">
        <v>65</v>
      </c>
      <c r="B55" s="31">
        <v>43473</v>
      </c>
      <c r="C55" s="35">
        <v>151</v>
      </c>
      <c r="D55" s="1" t="s">
        <v>219</v>
      </c>
      <c r="E55" s="30" t="s">
        <v>220</v>
      </c>
      <c r="F55" s="2">
        <v>250</v>
      </c>
      <c r="I55" s="2">
        <v>128</v>
      </c>
      <c r="L55" s="8" t="s">
        <v>221</v>
      </c>
      <c r="N55" s="2">
        <v>2550</v>
      </c>
      <c r="P55" s="38" t="s">
        <v>222</v>
      </c>
      <c r="Q55" s="2" t="s">
        <v>223</v>
      </c>
      <c r="R55" s="8" t="s">
        <v>224</v>
      </c>
      <c r="S55" s="2">
        <v>2070</v>
      </c>
    </row>
    <row r="56" spans="1:20" ht="90" x14ac:dyDescent="0.15">
      <c r="A56" s="6">
        <v>66</v>
      </c>
      <c r="B56" s="31">
        <v>43474</v>
      </c>
      <c r="C56" s="35">
        <v>191</v>
      </c>
      <c r="D56" s="1" t="s">
        <v>201</v>
      </c>
      <c r="E56" s="30" t="s">
        <v>202</v>
      </c>
      <c r="F56" s="2">
        <v>25000</v>
      </c>
      <c r="J56" s="2" t="s">
        <v>203</v>
      </c>
      <c r="L56" s="8" t="s">
        <v>204</v>
      </c>
      <c r="N56" s="2">
        <v>2470</v>
      </c>
      <c r="Q56" s="2" t="s">
        <v>205</v>
      </c>
      <c r="R56" s="8" t="s">
        <v>206</v>
      </c>
      <c r="T56" s="4" t="s">
        <v>207</v>
      </c>
    </row>
    <row r="57" spans="1:20" ht="40.5" x14ac:dyDescent="0.15">
      <c r="A57" s="6">
        <v>67</v>
      </c>
      <c r="B57" s="31" t="s">
        <v>212</v>
      </c>
      <c r="C57" s="35">
        <v>110</v>
      </c>
      <c r="D57" s="1" t="s">
        <v>213</v>
      </c>
      <c r="E57" s="30" t="s">
        <v>214</v>
      </c>
      <c r="K57" s="2">
        <v>0</v>
      </c>
      <c r="L57" s="8" t="s">
        <v>215</v>
      </c>
      <c r="N57" s="2">
        <v>310</v>
      </c>
      <c r="P57" s="38" t="s">
        <v>217</v>
      </c>
      <c r="Q57" s="2" t="s">
        <v>216</v>
      </c>
      <c r="R57" s="8" t="s">
        <v>218</v>
      </c>
      <c r="S57" s="2">
        <v>190</v>
      </c>
      <c r="T57" s="4" t="s">
        <v>207</v>
      </c>
    </row>
    <row r="58" spans="1:20" ht="67.5" x14ac:dyDescent="0.15">
      <c r="A58" s="6">
        <v>68</v>
      </c>
      <c r="B58" s="31" t="s">
        <v>229</v>
      </c>
      <c r="C58" s="35">
        <v>20</v>
      </c>
      <c r="D58" s="1" t="s">
        <v>23</v>
      </c>
      <c r="E58" s="30" t="s">
        <v>225</v>
      </c>
      <c r="F58" s="2">
        <v>3000</v>
      </c>
      <c r="I58" s="2">
        <v>250</v>
      </c>
      <c r="J58" s="2" t="s">
        <v>226</v>
      </c>
      <c r="P58" s="38" t="s">
        <v>227</v>
      </c>
      <c r="Q58" s="2" t="s">
        <v>24</v>
      </c>
      <c r="R58" s="8" t="s">
        <v>228</v>
      </c>
    </row>
    <row r="59" spans="1:20" ht="101.25" x14ac:dyDescent="0.15">
      <c r="A59" s="6">
        <v>69</v>
      </c>
      <c r="B59" s="31" t="s">
        <v>230</v>
      </c>
      <c r="C59" s="35">
        <v>22</v>
      </c>
      <c r="D59" s="1" t="s">
        <v>245</v>
      </c>
      <c r="E59" s="30" t="s">
        <v>246</v>
      </c>
      <c r="F59" s="2">
        <v>2000</v>
      </c>
      <c r="G59" s="2" t="s">
        <v>247</v>
      </c>
      <c r="J59" s="2" t="s">
        <v>248</v>
      </c>
      <c r="L59" s="8" t="s">
        <v>243</v>
      </c>
      <c r="M59" s="2">
        <v>56</v>
      </c>
      <c r="P59" s="38" t="s">
        <v>231</v>
      </c>
      <c r="Q59" s="2" t="s">
        <v>249</v>
      </c>
      <c r="R59" s="8" t="s">
        <v>250</v>
      </c>
      <c r="S59" s="2">
        <v>16350</v>
      </c>
    </row>
    <row r="60" spans="1:20" ht="36" x14ac:dyDescent="0.15">
      <c r="A60" s="6">
        <v>70</v>
      </c>
      <c r="B60" s="31" t="s">
        <v>236</v>
      </c>
      <c r="C60" s="35">
        <v>111</v>
      </c>
      <c r="D60" s="1" t="s">
        <v>232</v>
      </c>
      <c r="E60" s="30" t="s">
        <v>233</v>
      </c>
      <c r="F60" s="2">
        <v>1000</v>
      </c>
      <c r="I60" s="2">
        <v>350</v>
      </c>
      <c r="J60" s="2" t="s">
        <v>38</v>
      </c>
      <c r="K60" s="2">
        <v>1905</v>
      </c>
      <c r="L60" s="8" t="s">
        <v>234</v>
      </c>
      <c r="N60" s="2">
        <v>1905</v>
      </c>
      <c r="Q60" s="2" t="s">
        <v>235</v>
      </c>
      <c r="R60" s="8" t="s">
        <v>237</v>
      </c>
      <c r="S60" s="2">
        <v>1905</v>
      </c>
    </row>
  </sheetData>
  <phoneticPr fontId="2" type="noConversion"/>
  <printOptions gridLines="1"/>
  <pageMargins left="0.70866141732283472" right="0.70866141732283472" top="0.74803149606299213" bottom="0.74803149606299213" header="0.31496062992125984" footer="0.31496062992125984"/>
  <pageSetup paperSize="8" scale="79" orientation="portrait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2">
              <controlPr defaultSize="0" print="0" autoFill="0" autoPict="0" macro="[0]!录入">
                <anchor moveWithCells="1">
                  <from>
                    <xdr:col>20</xdr:col>
                    <xdr:colOff>152400</xdr:colOff>
                    <xdr:row>0</xdr:row>
                    <xdr:rowOff>38100</xdr:rowOff>
                  </from>
                  <to>
                    <xdr:col>22</xdr:col>
                    <xdr:colOff>523875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4"/>
  <sheetViews>
    <sheetView zoomScale="90" zoomScaleNormal="90" workbookViewId="0">
      <selection activeCell="K6" sqref="K6"/>
    </sheetView>
  </sheetViews>
  <sheetFormatPr defaultRowHeight="31.5" x14ac:dyDescent="0.15"/>
  <cols>
    <col min="1" max="1" width="9.875" style="27" customWidth="1"/>
    <col min="2" max="2" width="16.125" style="27" customWidth="1"/>
    <col min="3" max="3" width="8.875" style="27" customWidth="1"/>
    <col min="4" max="4" width="8.625" style="27" customWidth="1"/>
    <col min="5" max="5" width="3.125" style="27" customWidth="1"/>
    <col min="6" max="6" width="4.125" style="27" customWidth="1"/>
    <col min="7" max="7" width="15.875" style="27" customWidth="1"/>
    <col min="8" max="8" width="9" style="27"/>
    <col min="9" max="9" width="9.5" style="27" customWidth="1"/>
    <col min="10" max="10" width="9.875" style="27" customWidth="1"/>
  </cols>
  <sheetData>
    <row r="1" spans="1:10" ht="30.95" customHeight="1" x14ac:dyDescent="0.15">
      <c r="A1" s="21" t="s">
        <v>0</v>
      </c>
      <c r="B1" s="48" t="s">
        <v>238</v>
      </c>
      <c r="C1" s="48"/>
      <c r="D1" s="48"/>
      <c r="E1" s="22"/>
      <c r="F1" s="22"/>
      <c r="G1" s="21" t="s">
        <v>0</v>
      </c>
      <c r="H1" s="48" t="str">
        <f>B1</f>
        <v>建筑美术写生</v>
      </c>
      <c r="I1" s="48"/>
      <c r="J1" s="48"/>
    </row>
    <row r="2" spans="1:10" ht="30.95" customHeight="1" x14ac:dyDescent="0.15">
      <c r="A2" s="21" t="s">
        <v>166</v>
      </c>
      <c r="B2" s="23" t="s">
        <v>164</v>
      </c>
      <c r="C2" s="21" t="s">
        <v>167</v>
      </c>
      <c r="D2" s="24" t="s">
        <v>239</v>
      </c>
      <c r="E2" s="22"/>
      <c r="F2" s="22"/>
      <c r="G2" s="21" t="str">
        <f>A2</f>
        <v>册数</v>
      </c>
      <c r="H2" s="25" t="str">
        <f>B2</f>
        <v/>
      </c>
      <c r="I2" s="21" t="s">
        <v>163</v>
      </c>
      <c r="J2" s="21" t="str">
        <f>D2</f>
        <v>56</v>
      </c>
    </row>
    <row r="3" spans="1:10" ht="30.95" customHeight="1" x14ac:dyDescent="0.15">
      <c r="A3" s="21" t="s">
        <v>165</v>
      </c>
      <c r="B3" s="45" t="s">
        <v>240</v>
      </c>
      <c r="C3" s="46"/>
      <c r="D3" s="47"/>
      <c r="E3" s="22"/>
      <c r="F3" s="22"/>
      <c r="G3" s="21" t="s">
        <v>2</v>
      </c>
      <c r="H3" s="45" t="str">
        <f>B3</f>
        <v>武汉大学出版社</v>
      </c>
      <c r="I3" s="46"/>
      <c r="J3" s="47"/>
    </row>
    <row r="4" spans="1:10" ht="30.95" customHeight="1" x14ac:dyDescent="0.15">
      <c r="A4" s="21" t="s">
        <v>3</v>
      </c>
      <c r="B4" s="45" t="s">
        <v>164</v>
      </c>
      <c r="C4" s="46"/>
      <c r="D4" s="47"/>
      <c r="E4" s="22"/>
      <c r="F4" s="22"/>
      <c r="G4" s="21" t="s">
        <v>3</v>
      </c>
      <c r="H4" s="45" t="str">
        <f>B4</f>
        <v/>
      </c>
      <c r="I4" s="46"/>
      <c r="J4" s="47"/>
    </row>
    <row r="5" spans="1:10" ht="30.95" customHeight="1" x14ac:dyDescent="0.15">
      <c r="A5" s="26"/>
      <c r="B5" s="22"/>
      <c r="C5" s="22"/>
      <c r="D5" s="22"/>
      <c r="E5" s="22"/>
      <c r="F5" s="22"/>
      <c r="G5" s="26"/>
      <c r="H5" s="22"/>
      <c r="I5" s="22"/>
      <c r="J5" s="22"/>
    </row>
    <row r="6" spans="1:10" ht="30.95" customHeight="1" x14ac:dyDescent="0.15">
      <c r="A6" s="21" t="s">
        <v>0</v>
      </c>
      <c r="B6" s="48" t="str">
        <f>B1</f>
        <v>建筑美术写生</v>
      </c>
      <c r="C6" s="48"/>
      <c r="D6" s="48"/>
      <c r="E6" s="22"/>
      <c r="F6" s="22"/>
      <c r="G6" s="21" t="s">
        <v>0</v>
      </c>
      <c r="H6" s="48" t="str">
        <f>H1</f>
        <v>建筑美术写生</v>
      </c>
      <c r="I6" s="48"/>
      <c r="J6" s="48"/>
    </row>
    <row r="7" spans="1:10" ht="30.95" customHeight="1" x14ac:dyDescent="0.15">
      <c r="A7" s="21" t="str">
        <f>A2</f>
        <v>册数</v>
      </c>
      <c r="B7" s="25" t="str">
        <f>B2</f>
        <v/>
      </c>
      <c r="C7" s="21" t="s">
        <v>1</v>
      </c>
      <c r="D7" s="21" t="str">
        <f>D2</f>
        <v>56</v>
      </c>
      <c r="E7" s="22"/>
      <c r="F7" s="22"/>
      <c r="G7" s="21" t="str">
        <f>A2</f>
        <v>册数</v>
      </c>
      <c r="H7" s="25" t="str">
        <f>B2</f>
        <v/>
      </c>
      <c r="I7" s="21" t="s">
        <v>1</v>
      </c>
      <c r="J7" s="21" t="str">
        <f>D2</f>
        <v>56</v>
      </c>
    </row>
    <row r="8" spans="1:10" ht="30.95" customHeight="1" x14ac:dyDescent="0.15">
      <c r="A8" s="21" t="s">
        <v>2</v>
      </c>
      <c r="B8" s="45" t="str">
        <f>B3</f>
        <v>武汉大学出版社</v>
      </c>
      <c r="C8" s="46"/>
      <c r="D8" s="47"/>
      <c r="E8" s="22"/>
      <c r="F8" s="22"/>
      <c r="G8" s="21" t="s">
        <v>2</v>
      </c>
      <c r="H8" s="45" t="str">
        <f>B3</f>
        <v>武汉大学出版社</v>
      </c>
      <c r="I8" s="46"/>
      <c r="J8" s="47"/>
    </row>
    <row r="9" spans="1:10" ht="30.95" customHeight="1" x14ac:dyDescent="0.15">
      <c r="A9" s="21" t="s">
        <v>3</v>
      </c>
      <c r="B9" s="45" t="str">
        <f>B4</f>
        <v/>
      </c>
      <c r="C9" s="46"/>
      <c r="D9" s="47"/>
      <c r="E9" s="22"/>
      <c r="F9" s="22"/>
      <c r="G9" s="21" t="s">
        <v>3</v>
      </c>
      <c r="H9" s="45" t="str">
        <f>B4</f>
        <v/>
      </c>
      <c r="I9" s="46"/>
      <c r="J9" s="47"/>
    </row>
    <row r="10" spans="1:10" ht="30.95" customHeight="1" x14ac:dyDescent="0.15">
      <c r="A10" s="22"/>
      <c r="B10" s="22"/>
      <c r="C10" s="22"/>
      <c r="D10" s="22"/>
      <c r="E10" s="22"/>
      <c r="F10" s="22"/>
      <c r="G10" s="22"/>
      <c r="H10" s="22"/>
      <c r="I10" s="22"/>
      <c r="J10" s="22"/>
    </row>
    <row r="11" spans="1:10" ht="30.95" customHeight="1" x14ac:dyDescent="0.15">
      <c r="A11" s="21" t="s">
        <v>0</v>
      </c>
      <c r="B11" s="49" t="str">
        <f>B1</f>
        <v>建筑美术写生</v>
      </c>
      <c r="C11" s="50"/>
      <c r="D11" s="51"/>
      <c r="E11" s="22"/>
      <c r="F11" s="22"/>
      <c r="G11" s="21" t="s">
        <v>0</v>
      </c>
      <c r="H11" s="48" t="str">
        <f>H1</f>
        <v>建筑美术写生</v>
      </c>
      <c r="I11" s="48"/>
      <c r="J11" s="48"/>
    </row>
    <row r="12" spans="1:10" ht="30.95" customHeight="1" x14ac:dyDescent="0.15">
      <c r="A12" s="21" t="str">
        <f>A2</f>
        <v>册数</v>
      </c>
      <c r="B12" s="25">
        <v>56</v>
      </c>
      <c r="C12" s="21" t="s">
        <v>1</v>
      </c>
      <c r="D12" s="21">
        <v>39</v>
      </c>
      <c r="E12" s="22"/>
      <c r="F12" s="22"/>
      <c r="G12" s="21" t="str">
        <f>A2</f>
        <v>册数</v>
      </c>
      <c r="H12" s="25" t="str">
        <f>B2</f>
        <v/>
      </c>
      <c r="I12" s="21" t="s">
        <v>1</v>
      </c>
      <c r="J12" s="21" t="str">
        <f>D2</f>
        <v>56</v>
      </c>
    </row>
    <row r="13" spans="1:10" ht="30.95" customHeight="1" x14ac:dyDescent="0.15">
      <c r="A13" s="21" t="s">
        <v>2</v>
      </c>
      <c r="B13" s="45" t="str">
        <f>B3</f>
        <v>武汉大学出版社</v>
      </c>
      <c r="C13" s="46"/>
      <c r="D13" s="47"/>
      <c r="E13" s="22"/>
      <c r="F13" s="22"/>
      <c r="G13" s="21" t="s">
        <v>2</v>
      </c>
      <c r="H13" s="45" t="str">
        <f>B8</f>
        <v>武汉大学出版社</v>
      </c>
      <c r="I13" s="46"/>
      <c r="J13" s="47"/>
    </row>
    <row r="14" spans="1:10" ht="30.95" customHeight="1" x14ac:dyDescent="0.15">
      <c r="A14" s="21" t="s">
        <v>3</v>
      </c>
      <c r="B14" s="45" t="str">
        <f>B4</f>
        <v/>
      </c>
      <c r="C14" s="46"/>
      <c r="D14" s="47"/>
      <c r="E14" s="22"/>
      <c r="F14" s="22"/>
      <c r="G14" s="21" t="s">
        <v>3</v>
      </c>
      <c r="H14" s="45" t="str">
        <f>B4</f>
        <v/>
      </c>
      <c r="I14" s="46"/>
      <c r="J14" s="47"/>
    </row>
    <row r="15" spans="1:10" ht="30.95" customHeight="1" x14ac:dyDescent="0.15"/>
    <row r="16" spans="1:10" ht="30.95" customHeight="1" x14ac:dyDescent="0.15">
      <c r="A16" s="21" t="s">
        <v>0</v>
      </c>
      <c r="B16" s="48" t="str">
        <f>B6</f>
        <v>建筑美术写生</v>
      </c>
      <c r="C16" s="48"/>
      <c r="D16" s="48"/>
      <c r="G16" s="21" t="s">
        <v>0</v>
      </c>
      <c r="H16" s="48" t="str">
        <f>H6</f>
        <v>建筑美术写生</v>
      </c>
      <c r="I16" s="48"/>
      <c r="J16" s="48"/>
    </row>
    <row r="17" spans="1:10" ht="30.95" customHeight="1" x14ac:dyDescent="0.15">
      <c r="A17" s="21" t="str">
        <f>A7</f>
        <v>册数</v>
      </c>
      <c r="B17" s="25" t="str">
        <f>B2</f>
        <v/>
      </c>
      <c r="C17" s="21" t="s">
        <v>1</v>
      </c>
      <c r="D17" s="21" t="str">
        <f>D2</f>
        <v>56</v>
      </c>
      <c r="G17" s="21" t="str">
        <f>A7</f>
        <v>册数</v>
      </c>
      <c r="H17" s="25" t="str">
        <f>B2</f>
        <v/>
      </c>
      <c r="I17" s="21" t="s">
        <v>1</v>
      </c>
      <c r="J17" s="21" t="str">
        <f>D2</f>
        <v>56</v>
      </c>
    </row>
    <row r="18" spans="1:10" ht="30.95" customHeight="1" x14ac:dyDescent="0.15">
      <c r="A18" s="21" t="s">
        <v>2</v>
      </c>
      <c r="B18" s="45" t="str">
        <f>B13</f>
        <v>武汉大学出版社</v>
      </c>
      <c r="C18" s="46"/>
      <c r="D18" s="47"/>
      <c r="G18" s="21" t="s">
        <v>2</v>
      </c>
      <c r="H18" s="45" t="str">
        <f>H13</f>
        <v>武汉大学出版社</v>
      </c>
      <c r="I18" s="46"/>
      <c r="J18" s="47"/>
    </row>
    <row r="19" spans="1:10" ht="30.95" customHeight="1" x14ac:dyDescent="0.15">
      <c r="A19" s="21" t="s">
        <v>3</v>
      </c>
      <c r="B19" s="45" t="str">
        <f>B4</f>
        <v/>
      </c>
      <c r="C19" s="46"/>
      <c r="D19" s="47"/>
      <c r="G19" s="21" t="s">
        <v>3</v>
      </c>
      <c r="H19" s="45" t="str">
        <f>B14</f>
        <v/>
      </c>
      <c r="I19" s="46"/>
      <c r="J19" s="47"/>
    </row>
    <row r="20" spans="1:10" ht="30.95" customHeight="1" x14ac:dyDescent="0.15"/>
    <row r="21" spans="1:10" ht="30.95" customHeight="1" x14ac:dyDescent="0.15">
      <c r="A21" s="21" t="s">
        <v>0</v>
      </c>
      <c r="B21" s="48" t="str">
        <f>B16</f>
        <v>建筑美术写生</v>
      </c>
      <c r="C21" s="48"/>
      <c r="D21" s="48"/>
      <c r="G21" s="21" t="s">
        <v>0</v>
      </c>
      <c r="H21" s="48" t="str">
        <f>H16</f>
        <v>建筑美术写生</v>
      </c>
      <c r="I21" s="48"/>
      <c r="J21" s="48"/>
    </row>
    <row r="22" spans="1:10" ht="30.95" customHeight="1" x14ac:dyDescent="0.15">
      <c r="A22" s="21" t="str">
        <f>A12</f>
        <v>册数</v>
      </c>
      <c r="B22" s="25" t="str">
        <f>B2</f>
        <v/>
      </c>
      <c r="C22" s="21" t="s">
        <v>1</v>
      </c>
      <c r="D22" s="21" t="str">
        <f>D2</f>
        <v>56</v>
      </c>
      <c r="G22" s="21" t="str">
        <f>G17</f>
        <v>册数</v>
      </c>
      <c r="H22" s="25" t="str">
        <f>B2</f>
        <v/>
      </c>
      <c r="I22" s="21" t="s">
        <v>1</v>
      </c>
      <c r="J22" s="21" t="str">
        <f>D2</f>
        <v>56</v>
      </c>
    </row>
    <row r="23" spans="1:10" ht="30.95" customHeight="1" x14ac:dyDescent="0.15">
      <c r="A23" s="21" t="s">
        <v>2</v>
      </c>
      <c r="B23" s="45" t="str">
        <f>B18</f>
        <v>武汉大学出版社</v>
      </c>
      <c r="C23" s="46"/>
      <c r="D23" s="47"/>
      <c r="G23" s="21" t="s">
        <v>2</v>
      </c>
      <c r="H23" s="45" t="str">
        <f>B13</f>
        <v>武汉大学出版社</v>
      </c>
      <c r="I23" s="46"/>
      <c r="J23" s="47"/>
    </row>
    <row r="24" spans="1:10" ht="30.95" customHeight="1" x14ac:dyDescent="0.15">
      <c r="A24" s="21" t="s">
        <v>3</v>
      </c>
      <c r="B24" s="45" t="str">
        <f>B4</f>
        <v/>
      </c>
      <c r="C24" s="46"/>
      <c r="D24" s="47"/>
      <c r="G24" s="21" t="s">
        <v>3</v>
      </c>
      <c r="H24" s="45" t="str">
        <f>B14</f>
        <v/>
      </c>
      <c r="I24" s="46"/>
      <c r="J24" s="47"/>
    </row>
  </sheetData>
  <sheetProtection formatCells="0" formatColumns="0" formatRows="0"/>
  <mergeCells count="30">
    <mergeCell ref="B3:D3"/>
    <mergeCell ref="B4:D4"/>
    <mergeCell ref="B1:D1"/>
    <mergeCell ref="B13:D13"/>
    <mergeCell ref="B11:D11"/>
    <mergeCell ref="B14:D14"/>
    <mergeCell ref="B6:D6"/>
    <mergeCell ref="B8:D8"/>
    <mergeCell ref="B9:D9"/>
    <mergeCell ref="B21:D21"/>
    <mergeCell ref="B23:D23"/>
    <mergeCell ref="B24:D24"/>
    <mergeCell ref="B16:D16"/>
    <mergeCell ref="B18:D18"/>
    <mergeCell ref="B19:D19"/>
    <mergeCell ref="H1:J1"/>
    <mergeCell ref="H3:J3"/>
    <mergeCell ref="H4:J4"/>
    <mergeCell ref="H6:J6"/>
    <mergeCell ref="H8:J8"/>
    <mergeCell ref="H9:J9"/>
    <mergeCell ref="H11:J11"/>
    <mergeCell ref="H13:J13"/>
    <mergeCell ref="H14:J14"/>
    <mergeCell ref="H16:J16"/>
    <mergeCell ref="H18:J18"/>
    <mergeCell ref="H19:J19"/>
    <mergeCell ref="H21:J21"/>
    <mergeCell ref="H23:J23"/>
    <mergeCell ref="H24:J24"/>
  </mergeCells>
  <phoneticPr fontId="21" type="noConversion"/>
  <pageMargins left="0.23622047244094491" right="0.23622047244094491" top="0.39370078740157483" bottom="0.39370078740157483" header="0.31496062992125984" footer="0.31496062992125984"/>
  <pageSetup paperSize="9" orientation="portrait" verticalDpi="18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print="0" autoLine="0" r:id="rId5">
            <anchor moveWithCells="1">
              <from>
                <xdr:col>11</xdr:col>
                <xdr:colOff>628650</xdr:colOff>
                <xdr:row>0</xdr:row>
                <xdr:rowOff>314325</xdr:rowOff>
              </from>
              <to>
                <xdr:col>13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2"/>
  <sheetViews>
    <sheetView workbookViewId="0">
      <selection activeCell="G7" sqref="G7"/>
    </sheetView>
  </sheetViews>
  <sheetFormatPr defaultRowHeight="13.5" x14ac:dyDescent="0.15"/>
  <cols>
    <col min="2" max="2" width="20.875" customWidth="1"/>
    <col min="3" max="3" width="13.375" customWidth="1"/>
    <col min="4" max="4" width="16.625" customWidth="1"/>
    <col min="5" max="5" width="6.75" customWidth="1"/>
    <col min="6" max="6" width="22.5" customWidth="1"/>
  </cols>
  <sheetData>
    <row r="1" spans="1:6" ht="39.75" customHeight="1" x14ac:dyDescent="0.15">
      <c r="A1" s="52" t="s">
        <v>164</v>
      </c>
      <c r="B1" s="53"/>
      <c r="C1" s="53"/>
      <c r="D1" s="18" t="s">
        <v>168</v>
      </c>
      <c r="E1" s="20" t="s">
        <v>242</v>
      </c>
      <c r="F1" s="19"/>
    </row>
    <row r="2" spans="1:6" ht="30" customHeight="1" x14ac:dyDescent="0.15">
      <c r="A2" s="13" t="s">
        <v>131</v>
      </c>
      <c r="B2" s="14">
        <v>4</v>
      </c>
      <c r="C2" s="60" t="s">
        <v>132</v>
      </c>
      <c r="D2" s="63" t="s">
        <v>164</v>
      </c>
      <c r="E2" s="64"/>
      <c r="F2" s="65"/>
    </row>
    <row r="3" spans="1:6" ht="30" customHeight="1" x14ac:dyDescent="0.15">
      <c r="A3" s="72" t="s">
        <v>4</v>
      </c>
      <c r="B3" s="73" t="s">
        <v>241</v>
      </c>
      <c r="C3" s="61"/>
      <c r="D3" s="66"/>
      <c r="E3" s="67"/>
      <c r="F3" s="68"/>
    </row>
    <row r="4" spans="1:6" ht="73.5" customHeight="1" x14ac:dyDescent="0.15">
      <c r="A4" s="72"/>
      <c r="B4" s="73"/>
      <c r="C4" s="62"/>
      <c r="D4" s="69"/>
      <c r="E4" s="70"/>
      <c r="F4" s="71"/>
    </row>
    <row r="5" spans="1:6" ht="30" customHeight="1" x14ac:dyDescent="0.15">
      <c r="A5" s="13" t="s">
        <v>133</v>
      </c>
      <c r="B5" s="12" t="s">
        <v>164</v>
      </c>
      <c r="C5" s="13" t="s">
        <v>5</v>
      </c>
      <c r="D5" s="13" t="s">
        <v>164</v>
      </c>
      <c r="E5" s="13" t="s">
        <v>134</v>
      </c>
      <c r="F5" s="13"/>
    </row>
    <row r="6" spans="1:6" ht="30" customHeight="1" x14ac:dyDescent="0.15">
      <c r="A6" s="56"/>
      <c r="B6" s="57"/>
      <c r="C6" s="57"/>
      <c r="D6" s="57"/>
      <c r="E6" s="57"/>
      <c r="F6" s="58"/>
    </row>
    <row r="7" spans="1:6" ht="30" customHeight="1" x14ac:dyDescent="0.15">
      <c r="A7" s="15" t="s">
        <v>135</v>
      </c>
      <c r="B7" s="57" t="s">
        <v>136</v>
      </c>
      <c r="C7" s="57"/>
      <c r="D7" s="57"/>
      <c r="E7" s="57"/>
      <c r="F7" s="58"/>
    </row>
    <row r="8" spans="1:6" ht="55.5" customHeight="1" x14ac:dyDescent="0.15">
      <c r="A8" s="54" t="s">
        <v>7</v>
      </c>
      <c r="B8" s="59"/>
      <c r="C8" s="55"/>
      <c r="D8" s="16" t="s">
        <v>6</v>
      </c>
      <c r="E8" s="54"/>
      <c r="F8" s="55"/>
    </row>
    <row r="9" spans="1:6" ht="24.95" customHeight="1" x14ac:dyDescent="0.15"/>
    <row r="10" spans="1:6" ht="24.95" customHeight="1" x14ac:dyDescent="0.15"/>
    <row r="11" spans="1:6" ht="24.95" customHeight="1" x14ac:dyDescent="0.15"/>
    <row r="12" spans="1:6" ht="24.95" customHeight="1" x14ac:dyDescent="0.15"/>
  </sheetData>
  <mergeCells count="9">
    <mergeCell ref="A1:C1"/>
    <mergeCell ref="E8:F8"/>
    <mergeCell ref="A6:F6"/>
    <mergeCell ref="A8:C8"/>
    <mergeCell ref="C2:C4"/>
    <mergeCell ref="D2:F4"/>
    <mergeCell ref="A3:A4"/>
    <mergeCell ref="B3:B4"/>
    <mergeCell ref="B7:F7"/>
  </mergeCells>
  <phoneticPr fontId="21" type="noConversion"/>
  <pageMargins left="0.59055118110236227" right="0.23622047244094491" top="0.39370078740157483" bottom="0.39370078740157483" header="0.31496062992125984" footer="0.31496062992125984"/>
  <pageSetup paperSize="9" orientation="portrait" verticalDpi="18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 moveWithCells="1">
              <from>
                <xdr:col>8</xdr:col>
                <xdr:colOff>619125</xdr:colOff>
                <xdr:row>0</xdr:row>
                <xdr:rowOff>457200</xdr:rowOff>
              </from>
              <to>
                <xdr:col>11</xdr:col>
                <xdr:colOff>228600</xdr:colOff>
                <xdr:row>3</xdr:row>
                <xdr:rowOff>171450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workbookViewId="0">
      <selection activeCell="C5" sqref="C5"/>
    </sheetView>
  </sheetViews>
  <sheetFormatPr defaultRowHeight="13.5" x14ac:dyDescent="0.15"/>
  <cols>
    <col min="1" max="1" width="49.375" style="34" customWidth="1"/>
    <col min="2" max="2" width="20.875" customWidth="1"/>
    <col min="3" max="3" width="22" customWidth="1"/>
    <col min="4" max="4" width="10.625" customWidth="1"/>
    <col min="5" max="5" width="9.875" customWidth="1"/>
    <col min="7" max="7" width="6.5" customWidth="1"/>
  </cols>
  <sheetData>
    <row r="1" spans="1:7" ht="39.950000000000003" customHeight="1" x14ac:dyDescent="0.15">
      <c r="A1" s="33" t="s">
        <v>138</v>
      </c>
      <c r="B1" s="17" t="s">
        <v>149</v>
      </c>
      <c r="C1" s="17" t="s">
        <v>150</v>
      </c>
      <c r="D1" s="17" t="s">
        <v>155</v>
      </c>
      <c r="E1" s="17" t="s">
        <v>159</v>
      </c>
      <c r="F1" s="17" t="s">
        <v>208</v>
      </c>
      <c r="G1" s="17" t="s">
        <v>209</v>
      </c>
    </row>
    <row r="2" spans="1:7" ht="39.950000000000003" customHeight="1" x14ac:dyDescent="0.15">
      <c r="A2" s="33" t="s">
        <v>139</v>
      </c>
      <c r="B2" s="17" t="s">
        <v>151</v>
      </c>
      <c r="C2" s="17" t="s">
        <v>153</v>
      </c>
      <c r="D2" s="17" t="s">
        <v>156</v>
      </c>
      <c r="E2" s="17" t="s">
        <v>160</v>
      </c>
      <c r="F2">
        <v>1</v>
      </c>
      <c r="G2">
        <v>2018</v>
      </c>
    </row>
    <row r="3" spans="1:7" ht="39.950000000000003" customHeight="1" x14ac:dyDescent="0.15">
      <c r="A3" s="33" t="s">
        <v>140</v>
      </c>
      <c r="B3" s="17" t="s">
        <v>152</v>
      </c>
      <c r="C3" s="17" t="s">
        <v>154</v>
      </c>
      <c r="D3" s="17" t="s">
        <v>157</v>
      </c>
      <c r="E3" s="17" t="s">
        <v>161</v>
      </c>
      <c r="F3">
        <v>2</v>
      </c>
      <c r="G3">
        <v>2019</v>
      </c>
    </row>
    <row r="4" spans="1:7" ht="39.950000000000003" customHeight="1" x14ac:dyDescent="0.15">
      <c r="A4" s="33" t="s">
        <v>141</v>
      </c>
      <c r="D4" s="17" t="s">
        <v>158</v>
      </c>
      <c r="E4" s="17" t="s">
        <v>162</v>
      </c>
      <c r="F4">
        <v>3</v>
      </c>
    </row>
    <row r="5" spans="1:7" ht="39.950000000000003" customHeight="1" x14ac:dyDescent="0.15">
      <c r="A5" s="33" t="s">
        <v>198</v>
      </c>
      <c r="D5" s="17" t="s">
        <v>211</v>
      </c>
      <c r="E5" s="17" t="s">
        <v>210</v>
      </c>
      <c r="F5">
        <v>4</v>
      </c>
    </row>
    <row r="6" spans="1:7" ht="39.950000000000003" customHeight="1" x14ac:dyDescent="0.15">
      <c r="F6">
        <v>5</v>
      </c>
    </row>
    <row r="7" spans="1:7" ht="39.950000000000003" customHeight="1" x14ac:dyDescent="0.15">
      <c r="F7">
        <v>6</v>
      </c>
    </row>
    <row r="8" spans="1:7" ht="39.950000000000003" customHeight="1" x14ac:dyDescent="0.15">
      <c r="F8">
        <v>7</v>
      </c>
    </row>
    <row r="9" spans="1:7" ht="39.950000000000003" customHeight="1" x14ac:dyDescent="0.15">
      <c r="F9">
        <v>8</v>
      </c>
    </row>
    <row r="10" spans="1:7" ht="39.950000000000003" customHeight="1" x14ac:dyDescent="0.15">
      <c r="F10">
        <v>9</v>
      </c>
    </row>
    <row r="11" spans="1:7" ht="39.950000000000003" customHeight="1" x14ac:dyDescent="0.15">
      <c r="F11">
        <v>10</v>
      </c>
    </row>
    <row r="12" spans="1:7" ht="39.950000000000003" customHeight="1" x14ac:dyDescent="0.15">
      <c r="F12">
        <v>11</v>
      </c>
    </row>
    <row r="13" spans="1:7" ht="39.950000000000003" customHeight="1" x14ac:dyDescent="0.15">
      <c r="F13">
        <v>12</v>
      </c>
    </row>
    <row r="14" spans="1:7" ht="39.950000000000003" customHeight="1" x14ac:dyDescent="0.15"/>
    <row r="15" spans="1:7" ht="39.950000000000003" customHeight="1" x14ac:dyDescent="0.15"/>
    <row r="16" spans="1:7" ht="39.950000000000003" customHeight="1" x14ac:dyDescent="0.15"/>
    <row r="17" ht="39.950000000000003" customHeight="1" x14ac:dyDescent="0.15"/>
    <row r="18" ht="39.950000000000003" customHeight="1" x14ac:dyDescent="0.15"/>
    <row r="19" ht="39.950000000000003" customHeight="1" x14ac:dyDescent="0.15"/>
    <row r="20" ht="39.950000000000003" customHeight="1" x14ac:dyDescent="0.15"/>
    <row r="21" ht="39.950000000000003" customHeight="1" x14ac:dyDescent="0.15"/>
    <row r="22" ht="39.950000000000003" customHeight="1" x14ac:dyDescent="0.15"/>
    <row r="23" ht="39.950000000000003" customHeight="1" x14ac:dyDescent="0.15"/>
    <row r="24" ht="39.950000000000003" customHeight="1" x14ac:dyDescent="0.15"/>
    <row r="25" ht="39.950000000000003" customHeight="1" x14ac:dyDescent="0.15"/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sheet1</vt:lpstr>
      <vt:lpstr>标签</vt:lpstr>
      <vt:lpstr>送货单</vt:lpstr>
      <vt:lpstr>客户地址</vt:lpstr>
      <vt:lpstr>送货单!Print_Area</vt:lpstr>
    </vt:vector>
  </TitlesOfParts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revision/>
  <cp:lastPrinted>2019-01-07T04:26:12Z</cp:lastPrinted>
  <dcterms:created xsi:type="dcterms:W3CDTF">2015-09-24T02:22:05Z</dcterms:created>
  <dcterms:modified xsi:type="dcterms:W3CDTF">2019-01-15T03:49:34Z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</Properties>
</file>